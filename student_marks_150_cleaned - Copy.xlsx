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838CD39-599A-486E-9AC4-26C4BC44E226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Raw_Data" sheetId="1" r:id="rId1"/>
    <sheet name="Sheet1" sheetId="4" r:id="rId2"/>
    <sheet name="Cleaned_Data" sheetId="2" r:id="rId3"/>
    <sheet name="Cleaning_Steps" sheetId="3" r:id="rId4"/>
  </sheets>
  <definedNames>
    <definedName name="_xlnm._FilterDatabase" localSheetId="0" hidden="1">Raw_Data!$A$1:$N$151</definedName>
  </definedNames>
  <calcPr calcId="191029"/>
</workbook>
</file>

<file path=xl/calcChain.xml><?xml version="1.0" encoding="utf-8"?>
<calcChain xmlns="http://schemas.openxmlformats.org/spreadsheetml/2006/main">
  <c r="Q21" i="1" l="1"/>
  <c r="Q22" i="1"/>
  <c r="Q23" i="1"/>
  <c r="Q20" i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2" i="4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2" i="1"/>
  <c r="J3" i="1"/>
  <c r="N3" i="1" s="1"/>
  <c r="J4" i="1"/>
  <c r="N4" i="1" s="1"/>
  <c r="J5" i="1"/>
  <c r="N5" i="1" s="1"/>
  <c r="J6" i="1"/>
  <c r="N6" i="1" s="1"/>
  <c r="J7" i="1"/>
  <c r="N7" i="1" s="1"/>
  <c r="J8" i="1"/>
  <c r="N8" i="1" s="1"/>
  <c r="J9" i="1"/>
  <c r="N9" i="1" s="1"/>
  <c r="J10" i="1"/>
  <c r="N10" i="1" s="1"/>
  <c r="J11" i="1"/>
  <c r="N11" i="1" s="1"/>
  <c r="J12" i="1"/>
  <c r="N12" i="1" s="1"/>
  <c r="J13" i="1"/>
  <c r="N13" i="1" s="1"/>
  <c r="J14" i="1"/>
  <c r="N14" i="1" s="1"/>
  <c r="J15" i="1"/>
  <c r="N15" i="1" s="1"/>
  <c r="J16" i="1"/>
  <c r="N16" i="1" s="1"/>
  <c r="J17" i="1"/>
  <c r="N17" i="1" s="1"/>
  <c r="J18" i="1"/>
  <c r="N18" i="1" s="1"/>
  <c r="J19" i="1"/>
  <c r="N19" i="1" s="1"/>
  <c r="J20" i="1"/>
  <c r="N20" i="1" s="1"/>
  <c r="J21" i="1"/>
  <c r="N21" i="1" s="1"/>
  <c r="J22" i="1"/>
  <c r="N22" i="1" s="1"/>
  <c r="J23" i="1"/>
  <c r="N23" i="1" s="1"/>
  <c r="J24" i="1"/>
  <c r="N24" i="1" s="1"/>
  <c r="J25" i="1"/>
  <c r="N25" i="1" s="1"/>
  <c r="J26" i="1"/>
  <c r="N26" i="1" s="1"/>
  <c r="J27" i="1"/>
  <c r="N27" i="1" s="1"/>
  <c r="J28" i="1"/>
  <c r="N28" i="1" s="1"/>
  <c r="J29" i="1"/>
  <c r="N29" i="1" s="1"/>
  <c r="J30" i="1"/>
  <c r="N30" i="1" s="1"/>
  <c r="J31" i="1"/>
  <c r="N31" i="1" s="1"/>
  <c r="J32" i="1"/>
  <c r="N32" i="1" s="1"/>
  <c r="J33" i="1"/>
  <c r="N33" i="1" s="1"/>
  <c r="J34" i="1"/>
  <c r="N34" i="1" s="1"/>
  <c r="J35" i="1"/>
  <c r="N35" i="1" s="1"/>
  <c r="J36" i="1"/>
  <c r="N36" i="1" s="1"/>
  <c r="J37" i="1"/>
  <c r="N37" i="1" s="1"/>
  <c r="J38" i="1"/>
  <c r="N38" i="1" s="1"/>
  <c r="J39" i="1"/>
  <c r="N39" i="1" s="1"/>
  <c r="J40" i="1"/>
  <c r="N40" i="1" s="1"/>
  <c r="J41" i="1"/>
  <c r="N41" i="1" s="1"/>
  <c r="J42" i="1"/>
  <c r="N42" i="1" s="1"/>
  <c r="J43" i="1"/>
  <c r="N43" i="1" s="1"/>
  <c r="J44" i="1"/>
  <c r="N44" i="1" s="1"/>
  <c r="J45" i="1"/>
  <c r="N45" i="1" s="1"/>
  <c r="J46" i="1"/>
  <c r="N46" i="1" s="1"/>
  <c r="J47" i="1"/>
  <c r="N47" i="1" s="1"/>
  <c r="J48" i="1"/>
  <c r="N48" i="1" s="1"/>
  <c r="J49" i="1"/>
  <c r="N49" i="1" s="1"/>
  <c r="J50" i="1"/>
  <c r="N50" i="1" s="1"/>
  <c r="J51" i="1"/>
  <c r="N51" i="1" s="1"/>
  <c r="J52" i="1"/>
  <c r="N52" i="1" s="1"/>
  <c r="J53" i="1"/>
  <c r="N53" i="1" s="1"/>
  <c r="J54" i="1"/>
  <c r="N54" i="1" s="1"/>
  <c r="J55" i="1"/>
  <c r="N55" i="1" s="1"/>
  <c r="J56" i="1"/>
  <c r="N56" i="1" s="1"/>
  <c r="J57" i="1"/>
  <c r="N57" i="1" s="1"/>
  <c r="J58" i="1"/>
  <c r="N58" i="1" s="1"/>
  <c r="J59" i="1"/>
  <c r="N59" i="1" s="1"/>
  <c r="J60" i="1"/>
  <c r="N60" i="1" s="1"/>
  <c r="J61" i="1"/>
  <c r="N61" i="1" s="1"/>
  <c r="J62" i="1"/>
  <c r="N62" i="1" s="1"/>
  <c r="J63" i="1"/>
  <c r="N63" i="1" s="1"/>
  <c r="J64" i="1"/>
  <c r="N64" i="1" s="1"/>
  <c r="J65" i="1"/>
  <c r="N65" i="1" s="1"/>
  <c r="J66" i="1"/>
  <c r="N66" i="1" s="1"/>
  <c r="J67" i="1"/>
  <c r="N67" i="1" s="1"/>
  <c r="J68" i="1"/>
  <c r="N68" i="1" s="1"/>
  <c r="J69" i="1"/>
  <c r="N69" i="1" s="1"/>
  <c r="J70" i="1"/>
  <c r="N70" i="1" s="1"/>
  <c r="J71" i="1"/>
  <c r="N71" i="1" s="1"/>
  <c r="J72" i="1"/>
  <c r="N72" i="1" s="1"/>
  <c r="J73" i="1"/>
  <c r="N73" i="1" s="1"/>
  <c r="J74" i="1"/>
  <c r="N74" i="1" s="1"/>
  <c r="J75" i="1"/>
  <c r="N75" i="1" s="1"/>
  <c r="J76" i="1"/>
  <c r="N76" i="1" s="1"/>
  <c r="J77" i="1"/>
  <c r="N77" i="1" s="1"/>
  <c r="J78" i="1"/>
  <c r="N78" i="1" s="1"/>
  <c r="J79" i="1"/>
  <c r="N79" i="1" s="1"/>
  <c r="J80" i="1"/>
  <c r="N80" i="1" s="1"/>
  <c r="J81" i="1"/>
  <c r="N81" i="1" s="1"/>
  <c r="J82" i="1"/>
  <c r="N82" i="1" s="1"/>
  <c r="J83" i="1"/>
  <c r="N83" i="1" s="1"/>
  <c r="J84" i="1"/>
  <c r="N84" i="1" s="1"/>
  <c r="J85" i="1"/>
  <c r="N85" i="1" s="1"/>
  <c r="J86" i="1"/>
  <c r="N86" i="1" s="1"/>
  <c r="J87" i="1"/>
  <c r="N87" i="1" s="1"/>
  <c r="J88" i="1"/>
  <c r="N88" i="1" s="1"/>
  <c r="J89" i="1"/>
  <c r="N89" i="1" s="1"/>
  <c r="J90" i="1"/>
  <c r="N90" i="1" s="1"/>
  <c r="J91" i="1"/>
  <c r="N91" i="1" s="1"/>
  <c r="J92" i="1"/>
  <c r="N92" i="1" s="1"/>
  <c r="J93" i="1"/>
  <c r="N93" i="1" s="1"/>
  <c r="J94" i="1"/>
  <c r="N94" i="1" s="1"/>
  <c r="J95" i="1"/>
  <c r="N95" i="1" s="1"/>
  <c r="J96" i="1"/>
  <c r="N96" i="1" s="1"/>
  <c r="J97" i="1"/>
  <c r="N97" i="1" s="1"/>
  <c r="J98" i="1"/>
  <c r="N98" i="1" s="1"/>
  <c r="J99" i="1"/>
  <c r="N99" i="1" s="1"/>
  <c r="J100" i="1"/>
  <c r="N100" i="1" s="1"/>
  <c r="J101" i="1"/>
  <c r="N101" i="1" s="1"/>
  <c r="J102" i="1"/>
  <c r="N102" i="1" s="1"/>
  <c r="J103" i="1"/>
  <c r="N103" i="1" s="1"/>
  <c r="J104" i="1"/>
  <c r="N104" i="1" s="1"/>
  <c r="J105" i="1"/>
  <c r="N105" i="1" s="1"/>
  <c r="J106" i="1"/>
  <c r="N106" i="1" s="1"/>
  <c r="J107" i="1"/>
  <c r="N107" i="1" s="1"/>
  <c r="J108" i="1"/>
  <c r="N108" i="1" s="1"/>
  <c r="J109" i="1"/>
  <c r="N109" i="1" s="1"/>
  <c r="J110" i="1"/>
  <c r="N110" i="1" s="1"/>
  <c r="J111" i="1"/>
  <c r="N111" i="1" s="1"/>
  <c r="J112" i="1"/>
  <c r="N112" i="1" s="1"/>
  <c r="J113" i="1"/>
  <c r="N113" i="1" s="1"/>
  <c r="J114" i="1"/>
  <c r="N114" i="1" s="1"/>
  <c r="J115" i="1"/>
  <c r="N115" i="1" s="1"/>
  <c r="J116" i="1"/>
  <c r="N116" i="1" s="1"/>
  <c r="J117" i="1"/>
  <c r="N117" i="1" s="1"/>
  <c r="J118" i="1"/>
  <c r="N118" i="1" s="1"/>
  <c r="J119" i="1"/>
  <c r="N119" i="1" s="1"/>
  <c r="J120" i="1"/>
  <c r="N120" i="1" s="1"/>
  <c r="J121" i="1"/>
  <c r="N121" i="1" s="1"/>
  <c r="J122" i="1"/>
  <c r="N122" i="1" s="1"/>
  <c r="J123" i="1"/>
  <c r="N123" i="1" s="1"/>
  <c r="J124" i="1"/>
  <c r="N124" i="1" s="1"/>
  <c r="J125" i="1"/>
  <c r="N125" i="1" s="1"/>
  <c r="J126" i="1"/>
  <c r="N126" i="1" s="1"/>
  <c r="J127" i="1"/>
  <c r="N127" i="1" s="1"/>
  <c r="J128" i="1"/>
  <c r="N128" i="1" s="1"/>
  <c r="J129" i="1"/>
  <c r="N129" i="1" s="1"/>
  <c r="J130" i="1"/>
  <c r="N130" i="1" s="1"/>
  <c r="J131" i="1"/>
  <c r="N131" i="1" s="1"/>
  <c r="J132" i="1"/>
  <c r="N132" i="1" s="1"/>
  <c r="J133" i="1"/>
  <c r="N133" i="1" s="1"/>
  <c r="J134" i="1"/>
  <c r="N134" i="1" s="1"/>
  <c r="J135" i="1"/>
  <c r="N135" i="1" s="1"/>
  <c r="J136" i="1"/>
  <c r="N136" i="1" s="1"/>
  <c r="J137" i="1"/>
  <c r="N137" i="1" s="1"/>
  <c r="J138" i="1"/>
  <c r="N138" i="1" s="1"/>
  <c r="J139" i="1"/>
  <c r="N139" i="1" s="1"/>
  <c r="J140" i="1"/>
  <c r="N140" i="1" s="1"/>
  <c r="J141" i="1"/>
  <c r="N141" i="1" s="1"/>
  <c r="J142" i="1"/>
  <c r="N142" i="1" s="1"/>
  <c r="J143" i="1"/>
  <c r="N143" i="1" s="1"/>
  <c r="J144" i="1"/>
  <c r="N144" i="1" s="1"/>
  <c r="J145" i="1"/>
  <c r="N145" i="1" s="1"/>
  <c r="J146" i="1"/>
  <c r="N146" i="1" s="1"/>
  <c r="J147" i="1"/>
  <c r="N147" i="1" s="1"/>
  <c r="J148" i="1"/>
  <c r="N148" i="1" s="1"/>
  <c r="J149" i="1"/>
  <c r="N149" i="1" s="1"/>
  <c r="J150" i="1"/>
  <c r="N150" i="1" s="1"/>
  <c r="J151" i="1"/>
  <c r="N151" i="1" s="1"/>
  <c r="J2" i="1"/>
  <c r="N2" i="1" s="1"/>
  <c r="Q27" i="1" l="1"/>
  <c r="Q26" i="1"/>
</calcChain>
</file>

<file path=xl/sharedStrings.xml><?xml version="1.0" encoding="utf-8"?>
<sst xmlns="http://schemas.openxmlformats.org/spreadsheetml/2006/main" count="1343" uniqueCount="121">
  <si>
    <t>Student_ID</t>
  </si>
  <si>
    <t>Name</t>
  </si>
  <si>
    <t>Gender</t>
  </si>
  <si>
    <t>Location</t>
  </si>
  <si>
    <t>Maths</t>
  </si>
  <si>
    <t>Science</t>
  </si>
  <si>
    <t>English</t>
  </si>
  <si>
    <t>Computer</t>
  </si>
  <si>
    <t>Grade</t>
  </si>
  <si>
    <t>Nisha</t>
  </si>
  <si>
    <t>m</t>
  </si>
  <si>
    <t xml:space="preserve">Indore </t>
  </si>
  <si>
    <t>B</t>
  </si>
  <si>
    <t>Meera</t>
  </si>
  <si>
    <t>F</t>
  </si>
  <si>
    <t>Chennai</t>
  </si>
  <si>
    <t>D</t>
  </si>
  <si>
    <t>Rahul</t>
  </si>
  <si>
    <t>Male</t>
  </si>
  <si>
    <t>Nagpur</t>
  </si>
  <si>
    <t>C</t>
  </si>
  <si>
    <t>Krishna</t>
  </si>
  <si>
    <t>Female</t>
  </si>
  <si>
    <t>Aarav</t>
  </si>
  <si>
    <t>Pune</t>
  </si>
  <si>
    <t>Neha</t>
  </si>
  <si>
    <t>Sneha</t>
  </si>
  <si>
    <t>Indore</t>
  </si>
  <si>
    <t>M</t>
  </si>
  <si>
    <t xml:space="preserve">Mumbai </t>
  </si>
  <si>
    <t>f</t>
  </si>
  <si>
    <t>Delhi</t>
  </si>
  <si>
    <t>Ishita</t>
  </si>
  <si>
    <t>Jaipur</t>
  </si>
  <si>
    <t>Anaya</t>
  </si>
  <si>
    <t>Dev</t>
  </si>
  <si>
    <t>Surat</t>
  </si>
  <si>
    <t>Aditya</t>
  </si>
  <si>
    <t>Ritika</t>
  </si>
  <si>
    <t>Ahmedabad</t>
  </si>
  <si>
    <t>Manav</t>
  </si>
  <si>
    <t>Harsh</t>
  </si>
  <si>
    <t>delhi</t>
  </si>
  <si>
    <t>Vivaan</t>
  </si>
  <si>
    <t>Sakshi</t>
  </si>
  <si>
    <t>Lucknow</t>
  </si>
  <si>
    <t>A</t>
  </si>
  <si>
    <t>Kabir</t>
  </si>
  <si>
    <t>Karan</t>
  </si>
  <si>
    <t>Bhopal</t>
  </si>
  <si>
    <t>Mumbai</t>
  </si>
  <si>
    <t>Pooja</t>
  </si>
  <si>
    <t>Priya</t>
  </si>
  <si>
    <t>Hyderabad</t>
  </si>
  <si>
    <t>Rohan</t>
  </si>
  <si>
    <t>Simran</t>
  </si>
  <si>
    <t>Yash</t>
  </si>
  <si>
    <t>Arjun</t>
  </si>
  <si>
    <t>Diya</t>
  </si>
  <si>
    <t>Step</t>
  </si>
  <si>
    <t>Description</t>
  </si>
  <si>
    <t>Standardized Gender values to M and F</t>
  </si>
  <si>
    <t>Removed extra spaces from Location names</t>
  </si>
  <si>
    <t>Converted Location names to title case</t>
  </si>
  <si>
    <t>Prepared cleaned dataset for analysis</t>
  </si>
  <si>
    <t>SUM</t>
  </si>
  <si>
    <t>MAX</t>
  </si>
  <si>
    <t>MIN</t>
  </si>
  <si>
    <t>RIGHT</t>
  </si>
  <si>
    <t xml:space="preserve">LEFT </t>
  </si>
  <si>
    <t>SPLIT</t>
  </si>
  <si>
    <t>PASTE BY VALUE</t>
  </si>
  <si>
    <t>PASTE BY TRANSPOSE</t>
  </si>
  <si>
    <t>6202838382</t>
  </si>
  <si>
    <t>8229293921</t>
  </si>
  <si>
    <t>0255749460</t>
  </si>
  <si>
    <t>2282204999</t>
  </si>
  <si>
    <t>4308660538</t>
  </si>
  <si>
    <t>6335116077</t>
  </si>
  <si>
    <t>8361571616</t>
  </si>
  <si>
    <t>0388027155</t>
  </si>
  <si>
    <t>2414482694</t>
  </si>
  <si>
    <t>4440938233</t>
  </si>
  <si>
    <t>6467393772</t>
  </si>
  <si>
    <t>8493849311</t>
  </si>
  <si>
    <t>0520304850</t>
  </si>
  <si>
    <t>2546760389</t>
  </si>
  <si>
    <t>Student Name</t>
  </si>
  <si>
    <t>Marks</t>
  </si>
  <si>
    <t>Aarav Sharma</t>
  </si>
  <si>
    <t>A+</t>
  </si>
  <si>
    <t>Diya Verma</t>
  </si>
  <si>
    <t>Rohan Gupta</t>
  </si>
  <si>
    <t>Sneha Patel</t>
  </si>
  <si>
    <t>Vivaan Singh</t>
  </si>
  <si>
    <t>Ananya Rao</t>
  </si>
  <si>
    <t>Kabir Mehta</t>
  </si>
  <si>
    <t>Ishita Jain</t>
  </si>
  <si>
    <t>Arjun Nair</t>
  </si>
  <si>
    <t>Meera Das</t>
  </si>
  <si>
    <t>Aditya Kapoor</t>
  </si>
  <si>
    <t>Priya Kulkarni</t>
  </si>
  <si>
    <t>Rahul Iyer</t>
  </si>
  <si>
    <t>Neha Bansal</t>
  </si>
  <si>
    <t>Kunal Joshi</t>
  </si>
  <si>
    <t>Pooja Mishra</t>
  </si>
  <si>
    <t>Yash Malhotra</t>
  </si>
  <si>
    <t>City</t>
  </si>
  <si>
    <t>Chandigarh</t>
  </si>
  <si>
    <t>Kochi</t>
  </si>
  <si>
    <t>Kolkata</t>
  </si>
  <si>
    <t>city</t>
  </si>
  <si>
    <t>VLOOKUP</t>
  </si>
  <si>
    <t>MARKS &gt; 250 = PASS</t>
  </si>
  <si>
    <t>Result</t>
  </si>
  <si>
    <t>IF</t>
  </si>
  <si>
    <t>COUNTIF</t>
  </si>
  <si>
    <t>GRADE</t>
  </si>
  <si>
    <t>COUNT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</si>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</sst>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2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2" xfId="0" applyFont="1" applyFill="1" applyBorder="1"/>
    <xf numFmtId="0" fontId="5" fillId="2" borderId="0" xfId="0" applyFont="1" applyFill="1"/>
    <xf numFmtId="0" fontId="2" fillId="9" borderId="0" xfId="0" applyFont="1" applyFill="1"/>
    <xf numFmtId="0" fontId="0" fillId="0" borderId="1" xfId="0" applyBorder="1"/>
    <xf numFmtId="0" fontId="2" fillId="9" borderId="1" xfId="0" applyFont="1" applyFill="1" applyBorder="1"/>
    <xf numFmtId="1" fontId="2" fillId="0" borderId="1" xfId="0" applyNumberFormat="1" applyFont="1" applyBorder="1"/>
    <xf numFmtId="0" fontId="0" fillId="10" borderId="1" xfId="0" applyFill="1" applyBorder="1"/>
    <xf numFmtId="0" fontId="1" fillId="11" borderId="1" xfId="0" applyFont="1" applyFill="1" applyBorder="1"/>
    <xf numFmtId="0" fontId="6" fillId="11" borderId="1" xfId="0" applyFont="1" applyFill="1" applyBorder="1"/>
    <xf numFmtId="0" fontId="0" fillId="11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854663690036327"/>
          <c:y val="0"/>
          <c:w val="0.88100085352286883"/>
          <c:h val="0.66554146444521389"/>
        </c:manualLayout>
      </c:layout>
      <c:pie3DChart>
        <c:varyColors val="1"/>
        <c:ser>
          <c:idx val="0"/>
          <c:order val="0"/>
          <c:tx>
            <c:strRef>
              <c:f>Raw_Data!$N$1:$N$150</c:f>
              <c:strCache>
                <c:ptCount val="150"/>
                <c:pt idx="0">
                  <c:v>Result</c:v>
                </c:pt>
                <c:pt idx="1">
                  <c:v>PASS</c:v>
                </c:pt>
                <c:pt idx="2">
                  <c:v>FAIL</c:v>
                </c:pt>
                <c:pt idx="3">
                  <c:v>PASS</c:v>
                </c:pt>
                <c:pt idx="4">
                  <c:v>PASS</c:v>
                </c:pt>
                <c:pt idx="5">
                  <c:v>PASS</c:v>
                </c:pt>
                <c:pt idx="6">
                  <c:v>FAIL</c:v>
                </c:pt>
                <c:pt idx="7">
                  <c:v>FAIL</c:v>
                </c:pt>
                <c:pt idx="8">
                  <c:v>FAIL</c:v>
                </c:pt>
                <c:pt idx="9">
                  <c:v>PASS</c:v>
                </c:pt>
                <c:pt idx="10">
                  <c:v>FAIL</c:v>
                </c:pt>
                <c:pt idx="11">
                  <c:v>PASS</c:v>
                </c:pt>
                <c:pt idx="12">
                  <c:v>FAIL</c:v>
                </c:pt>
                <c:pt idx="13">
                  <c:v>FAIL</c:v>
                </c:pt>
                <c:pt idx="14">
                  <c:v>FAIL</c:v>
                </c:pt>
                <c:pt idx="15">
                  <c:v>PASS</c:v>
                </c:pt>
                <c:pt idx="16">
                  <c:v>FAIL</c:v>
                </c:pt>
                <c:pt idx="17">
                  <c:v>FAIL</c:v>
                </c:pt>
                <c:pt idx="18">
                  <c:v>PASS</c:v>
                </c:pt>
                <c:pt idx="19">
                  <c:v>PASS</c:v>
                </c:pt>
                <c:pt idx="20">
                  <c:v>FAIL</c:v>
                </c:pt>
                <c:pt idx="21">
                  <c:v>FAIL</c:v>
                </c:pt>
                <c:pt idx="22">
                  <c:v>FAIL</c:v>
                </c:pt>
                <c:pt idx="23">
                  <c:v>PASS</c:v>
                </c:pt>
                <c:pt idx="24">
                  <c:v>PASS</c:v>
                </c:pt>
                <c:pt idx="25">
                  <c:v>FAIL</c:v>
                </c:pt>
                <c:pt idx="26">
                  <c:v>FAIL</c:v>
                </c:pt>
                <c:pt idx="27">
                  <c:v>FAIL</c:v>
                </c:pt>
                <c:pt idx="28">
                  <c:v>PASS</c:v>
                </c:pt>
                <c:pt idx="29">
                  <c:v>PASS</c:v>
                </c:pt>
                <c:pt idx="30">
                  <c:v>FAIL</c:v>
                </c:pt>
                <c:pt idx="31">
                  <c:v>FAIL</c:v>
                </c:pt>
                <c:pt idx="32">
                  <c:v>PASS</c:v>
                </c:pt>
                <c:pt idx="33">
                  <c:v>PASS</c:v>
                </c:pt>
                <c:pt idx="34">
                  <c:v>FAIL</c:v>
                </c:pt>
                <c:pt idx="35">
                  <c:v>PASS</c:v>
                </c:pt>
                <c:pt idx="36">
                  <c:v>FAIL</c:v>
                </c:pt>
                <c:pt idx="37">
                  <c:v>PASS</c:v>
                </c:pt>
                <c:pt idx="38">
                  <c:v>PASS</c:v>
                </c:pt>
                <c:pt idx="39">
                  <c:v>PASS</c:v>
                </c:pt>
                <c:pt idx="40">
                  <c:v>PASS</c:v>
                </c:pt>
                <c:pt idx="41">
                  <c:v>FAIL</c:v>
                </c:pt>
                <c:pt idx="42">
                  <c:v>FAIL</c:v>
                </c:pt>
                <c:pt idx="43">
                  <c:v>PASS</c:v>
                </c:pt>
                <c:pt idx="44">
                  <c:v>FAIL</c:v>
                </c:pt>
                <c:pt idx="45">
                  <c:v>PASS</c:v>
                </c:pt>
                <c:pt idx="46">
                  <c:v>FAIL</c:v>
                </c:pt>
                <c:pt idx="47">
                  <c:v>PASS</c:v>
                </c:pt>
                <c:pt idx="48">
                  <c:v>FAIL</c:v>
                </c:pt>
                <c:pt idx="49">
                  <c:v>PASS</c:v>
                </c:pt>
                <c:pt idx="50">
                  <c:v>PASS</c:v>
                </c:pt>
                <c:pt idx="51">
                  <c:v>PASS</c:v>
                </c:pt>
                <c:pt idx="52">
                  <c:v>FAIL</c:v>
                </c:pt>
                <c:pt idx="53">
                  <c:v>PASS</c:v>
                </c:pt>
                <c:pt idx="54">
                  <c:v>PASS</c:v>
                </c:pt>
                <c:pt idx="55">
                  <c:v>PASS</c:v>
                </c:pt>
                <c:pt idx="56">
                  <c:v>PASS</c:v>
                </c:pt>
                <c:pt idx="57">
                  <c:v>PASS</c:v>
                </c:pt>
                <c:pt idx="58">
                  <c:v>FAIL</c:v>
                </c:pt>
                <c:pt idx="59">
                  <c:v>PASS</c:v>
                </c:pt>
                <c:pt idx="60">
                  <c:v>FAIL</c:v>
                </c:pt>
                <c:pt idx="61">
                  <c:v>FAIL</c:v>
                </c:pt>
                <c:pt idx="62">
                  <c:v>FAIL</c:v>
                </c:pt>
                <c:pt idx="63">
                  <c:v>PASS</c:v>
                </c:pt>
                <c:pt idx="64">
                  <c:v>PASS</c:v>
                </c:pt>
                <c:pt idx="65">
                  <c:v>PASS</c:v>
                </c:pt>
                <c:pt idx="66">
                  <c:v>FAIL</c:v>
                </c:pt>
                <c:pt idx="67">
                  <c:v>PASS</c:v>
                </c:pt>
                <c:pt idx="68">
                  <c:v>FAIL</c:v>
                </c:pt>
                <c:pt idx="69">
                  <c:v>PASS</c:v>
                </c:pt>
                <c:pt idx="70">
                  <c:v>PASS</c:v>
                </c:pt>
                <c:pt idx="71">
                  <c:v>PASS</c:v>
                </c:pt>
                <c:pt idx="72">
                  <c:v>PASS</c:v>
                </c:pt>
                <c:pt idx="73">
                  <c:v>PASS</c:v>
                </c:pt>
                <c:pt idx="74">
                  <c:v>PASS</c:v>
                </c:pt>
                <c:pt idx="75">
                  <c:v>PASS</c:v>
                </c:pt>
                <c:pt idx="76">
                  <c:v>PASS</c:v>
                </c:pt>
                <c:pt idx="77">
                  <c:v>FAIL</c:v>
                </c:pt>
                <c:pt idx="78">
                  <c:v>PASS</c:v>
                </c:pt>
                <c:pt idx="79">
                  <c:v>FAIL</c:v>
                </c:pt>
                <c:pt idx="80">
                  <c:v>PASS</c:v>
                </c:pt>
                <c:pt idx="81">
                  <c:v>FAIL</c:v>
                </c:pt>
                <c:pt idx="82">
                  <c:v>PASS</c:v>
                </c:pt>
                <c:pt idx="83">
                  <c:v>PASS</c:v>
                </c:pt>
                <c:pt idx="84">
                  <c:v>PASS</c:v>
                </c:pt>
                <c:pt idx="85">
                  <c:v>FAIL</c:v>
                </c:pt>
                <c:pt idx="86">
                  <c:v>PASS</c:v>
                </c:pt>
                <c:pt idx="87">
                  <c:v>FAIL</c:v>
                </c:pt>
                <c:pt idx="88">
                  <c:v>PASS</c:v>
                </c:pt>
                <c:pt idx="89">
                  <c:v>PASS</c:v>
                </c:pt>
                <c:pt idx="90">
                  <c:v>PASS</c:v>
                </c:pt>
                <c:pt idx="91">
                  <c:v>PASS</c:v>
                </c:pt>
                <c:pt idx="92">
                  <c:v>PASS</c:v>
                </c:pt>
                <c:pt idx="93">
                  <c:v>PASS</c:v>
                </c:pt>
                <c:pt idx="94">
                  <c:v>PASS</c:v>
                </c:pt>
                <c:pt idx="95">
                  <c:v>PASS</c:v>
                </c:pt>
                <c:pt idx="96">
                  <c:v>PASS</c:v>
                </c:pt>
                <c:pt idx="97">
                  <c:v>PASS</c:v>
                </c:pt>
                <c:pt idx="98">
                  <c:v>PASS</c:v>
                </c:pt>
                <c:pt idx="99">
                  <c:v>PASS</c:v>
                </c:pt>
                <c:pt idx="100">
                  <c:v>PASS</c:v>
                </c:pt>
                <c:pt idx="101">
                  <c:v>FAIL</c:v>
                </c:pt>
                <c:pt idx="102">
                  <c:v>PASS</c:v>
                </c:pt>
                <c:pt idx="103">
                  <c:v>FAIL</c:v>
                </c:pt>
                <c:pt idx="104">
                  <c:v>PASS</c:v>
                </c:pt>
                <c:pt idx="105">
                  <c:v>PASS</c:v>
                </c:pt>
                <c:pt idx="106">
                  <c:v>PASS</c:v>
                </c:pt>
                <c:pt idx="107">
                  <c:v>PASS</c:v>
                </c:pt>
                <c:pt idx="108">
                  <c:v>FAIL</c:v>
                </c:pt>
                <c:pt idx="109">
                  <c:v>FAIL</c:v>
                </c:pt>
                <c:pt idx="110">
                  <c:v>FAIL</c:v>
                </c:pt>
                <c:pt idx="111">
                  <c:v>PASS</c:v>
                </c:pt>
                <c:pt idx="112">
                  <c:v>PASS</c:v>
                </c:pt>
                <c:pt idx="113">
                  <c:v>FAIL</c:v>
                </c:pt>
                <c:pt idx="114">
                  <c:v>PASS</c:v>
                </c:pt>
                <c:pt idx="115">
                  <c:v>PASS</c:v>
                </c:pt>
                <c:pt idx="116">
                  <c:v>PASS</c:v>
                </c:pt>
                <c:pt idx="117">
                  <c:v>FAIL</c:v>
                </c:pt>
                <c:pt idx="118">
                  <c:v>PASS</c:v>
                </c:pt>
                <c:pt idx="119">
                  <c:v>PASS</c:v>
                </c:pt>
                <c:pt idx="120">
                  <c:v>PASS</c:v>
                </c:pt>
                <c:pt idx="121">
                  <c:v>FAIL</c:v>
                </c:pt>
                <c:pt idx="122">
                  <c:v>PASS</c:v>
                </c:pt>
                <c:pt idx="123">
                  <c:v>PASS</c:v>
                </c:pt>
                <c:pt idx="124">
                  <c:v>PASS</c:v>
                </c:pt>
                <c:pt idx="125">
                  <c:v>PASS</c:v>
                </c:pt>
                <c:pt idx="126">
                  <c:v>PASS</c:v>
                </c:pt>
                <c:pt idx="127">
                  <c:v>PASS</c:v>
                </c:pt>
                <c:pt idx="128">
                  <c:v>PASS</c:v>
                </c:pt>
                <c:pt idx="129">
                  <c:v>PASS</c:v>
                </c:pt>
                <c:pt idx="130">
                  <c:v>PASS</c:v>
                </c:pt>
                <c:pt idx="131">
                  <c:v>PASS</c:v>
                </c:pt>
                <c:pt idx="132">
                  <c:v>FAIL</c:v>
                </c:pt>
                <c:pt idx="133">
                  <c:v>PASS</c:v>
                </c:pt>
                <c:pt idx="134">
                  <c:v>PASS</c:v>
                </c:pt>
                <c:pt idx="135">
                  <c:v>PASS</c:v>
                </c:pt>
                <c:pt idx="136">
                  <c:v>FAIL</c:v>
                </c:pt>
                <c:pt idx="137">
                  <c:v>PASS</c:v>
                </c:pt>
                <c:pt idx="138">
                  <c:v>PASS</c:v>
                </c:pt>
                <c:pt idx="139">
                  <c:v>FAIL</c:v>
                </c:pt>
                <c:pt idx="140">
                  <c:v>PASS</c:v>
                </c:pt>
                <c:pt idx="141">
                  <c:v>PASS</c:v>
                </c:pt>
                <c:pt idx="142">
                  <c:v>PASS</c:v>
                </c:pt>
                <c:pt idx="143">
                  <c:v>FAIL</c:v>
                </c:pt>
                <c:pt idx="144">
                  <c:v>PASS</c:v>
                </c:pt>
                <c:pt idx="145">
                  <c:v>PASS</c:v>
                </c:pt>
                <c:pt idx="146">
                  <c:v>PASS</c:v>
                </c:pt>
                <c:pt idx="147">
                  <c:v>FAIL</c:v>
                </c:pt>
                <c:pt idx="148">
                  <c:v>PASS</c:v>
                </c:pt>
                <c:pt idx="149">
                  <c:v>PASS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Raw_Data!$N$151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0-4472-AA93-0072A4E9E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5.0003230182828345E-2"/>
          <c:y val="0.46962745185383165"/>
          <c:w val="0.89999353963434348"/>
          <c:h val="0.527412329272794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p3d/>
                  </c:spPr>
                </c:dPt>
                <c:cat>
                  <c:strRef>
                    <c:extLst>
                      <c:ext uri="{02D57815-91ED-43cb-92C2-25804820EDAC}">
                        <c15:formulaRef>
                          <c15:sqref>Raw_Data!$C$1:$C$150</c15:sqref>
                        </c15:formulaRef>
                      </c:ext>
                    </c:extLst>
                    <c:strCache>
                      <c:ptCount val="150"/>
                      <c:pt idx="0">
                        <c:v>Gender</c:v>
                      </c:pt>
                      <c:pt idx="1">
                        <c:v>m</c:v>
                      </c:pt>
                      <c:pt idx="2">
                        <c:v>F</c:v>
                      </c:pt>
                      <c:pt idx="3">
                        <c:v>Male</c:v>
                      </c:pt>
                      <c:pt idx="4">
                        <c:v>Female</c:v>
                      </c:pt>
                      <c:pt idx="5">
                        <c:v>m</c:v>
                      </c:pt>
                      <c:pt idx="6">
                        <c:v>Male</c:v>
                      </c:pt>
                      <c:pt idx="7">
                        <c:v>Male</c:v>
                      </c:pt>
                      <c:pt idx="8">
                        <c:v>M</c:v>
                      </c:pt>
                      <c:pt idx="9">
                        <c:v>f</c:v>
                      </c:pt>
                      <c:pt idx="10">
                        <c:v>m</c:v>
                      </c:pt>
                      <c:pt idx="11">
                        <c:v>Female</c:v>
                      </c:pt>
                      <c:pt idx="12">
                        <c:v>M</c:v>
                      </c:pt>
                      <c:pt idx="13">
                        <c:v>f</c:v>
                      </c:pt>
                      <c:pt idx="14">
                        <c:v>M</c:v>
                      </c:pt>
                      <c:pt idx="15">
                        <c:v>Female</c:v>
                      </c:pt>
                      <c:pt idx="16">
                        <c:v>Male</c:v>
                      </c:pt>
                      <c:pt idx="17">
                        <c:v>Female</c:v>
                      </c:pt>
                      <c:pt idx="18">
                        <c:v>Female</c:v>
                      </c:pt>
                      <c:pt idx="19">
                        <c:v>f</c:v>
                      </c:pt>
                      <c:pt idx="20">
                        <c:v>f</c:v>
                      </c:pt>
                      <c:pt idx="21">
                        <c:v>Female</c:v>
                      </c:pt>
                      <c:pt idx="22">
                        <c:v>Female</c:v>
                      </c:pt>
                      <c:pt idx="23">
                        <c:v>F</c:v>
                      </c:pt>
                      <c:pt idx="24">
                        <c:v>Female</c:v>
                      </c:pt>
                      <c:pt idx="25">
                        <c:v>M</c:v>
                      </c:pt>
                      <c:pt idx="26">
                        <c:v>m</c:v>
                      </c:pt>
                      <c:pt idx="27">
                        <c:v>Male</c:v>
                      </c:pt>
                      <c:pt idx="28">
                        <c:v>Female</c:v>
                      </c:pt>
                      <c:pt idx="29">
                        <c:v>Male</c:v>
                      </c:pt>
                      <c:pt idx="30">
                        <c:v>Female</c:v>
                      </c:pt>
                      <c:pt idx="31">
                        <c:v>M</c:v>
                      </c:pt>
                      <c:pt idx="32">
                        <c:v>Male</c:v>
                      </c:pt>
                      <c:pt idx="33">
                        <c:v>F</c:v>
                      </c:pt>
                      <c:pt idx="34">
                        <c:v>f</c:v>
                      </c:pt>
                      <c:pt idx="35">
                        <c:v>m</c:v>
                      </c:pt>
                      <c:pt idx="36">
                        <c:v>f</c:v>
                      </c:pt>
                      <c:pt idx="37">
                        <c:v>m</c:v>
                      </c:pt>
                      <c:pt idx="38">
                        <c:v>f</c:v>
                      </c:pt>
                      <c:pt idx="39">
                        <c:v>Male</c:v>
                      </c:pt>
                      <c:pt idx="40">
                        <c:v>M</c:v>
                      </c:pt>
                      <c:pt idx="41">
                        <c:v>Female</c:v>
                      </c:pt>
                      <c:pt idx="42">
                        <c:v>F</c:v>
                      </c:pt>
                      <c:pt idx="43">
                        <c:v>m</c:v>
                      </c:pt>
                      <c:pt idx="44">
                        <c:v>m</c:v>
                      </c:pt>
                      <c:pt idx="45">
                        <c:v>Female</c:v>
                      </c:pt>
                      <c:pt idx="46">
                        <c:v>f</c:v>
                      </c:pt>
                      <c:pt idx="47">
                        <c:v>m</c:v>
                      </c:pt>
                      <c:pt idx="48">
                        <c:v>Male</c:v>
                      </c:pt>
                      <c:pt idx="49">
                        <c:v>Female</c:v>
                      </c:pt>
                      <c:pt idx="50">
                        <c:v>M</c:v>
                      </c:pt>
                      <c:pt idx="51">
                        <c:v>Male</c:v>
                      </c:pt>
                      <c:pt idx="52">
                        <c:v>M</c:v>
                      </c:pt>
                      <c:pt idx="53">
                        <c:v>F</c:v>
                      </c:pt>
                      <c:pt idx="54">
                        <c:v>M</c:v>
                      </c:pt>
                      <c:pt idx="55">
                        <c:v>f</c:v>
                      </c:pt>
                      <c:pt idx="56">
                        <c:v>f</c:v>
                      </c:pt>
                      <c:pt idx="57">
                        <c:v>m</c:v>
                      </c:pt>
                      <c:pt idx="58">
                        <c:v>M</c:v>
                      </c:pt>
                      <c:pt idx="59">
                        <c:v>m</c:v>
                      </c:pt>
                      <c:pt idx="60">
                        <c:v>Female</c:v>
                      </c:pt>
                      <c:pt idx="61">
                        <c:v>m</c:v>
                      </c:pt>
                      <c:pt idx="62">
                        <c:v>m</c:v>
                      </c:pt>
                      <c:pt idx="63">
                        <c:v>Male</c:v>
                      </c:pt>
                      <c:pt idx="64">
                        <c:v>Male</c:v>
                      </c:pt>
                      <c:pt idx="65">
                        <c:v>Female</c:v>
                      </c:pt>
                      <c:pt idx="66">
                        <c:v>f</c:v>
                      </c:pt>
                      <c:pt idx="67">
                        <c:v>f</c:v>
                      </c:pt>
                      <c:pt idx="68">
                        <c:v>Male</c:v>
                      </c:pt>
                      <c:pt idx="69">
                        <c:v>M</c:v>
                      </c:pt>
                      <c:pt idx="70">
                        <c:v>F</c:v>
                      </c:pt>
                      <c:pt idx="71">
                        <c:v>M</c:v>
                      </c:pt>
                      <c:pt idx="72">
                        <c:v>F</c:v>
                      </c:pt>
                      <c:pt idx="73">
                        <c:v>f</c:v>
                      </c:pt>
                      <c:pt idx="74">
                        <c:v>M</c:v>
                      </c:pt>
                      <c:pt idx="75">
                        <c:v>F</c:v>
                      </c:pt>
                      <c:pt idx="76">
                        <c:v>m</c:v>
                      </c:pt>
                      <c:pt idx="77">
                        <c:v>m</c:v>
                      </c:pt>
                      <c:pt idx="78">
                        <c:v>Female</c:v>
                      </c:pt>
                      <c:pt idx="79">
                        <c:v>f</c:v>
                      </c:pt>
                      <c:pt idx="80">
                        <c:v>M</c:v>
                      </c:pt>
                      <c:pt idx="81">
                        <c:v>M</c:v>
                      </c:pt>
                      <c:pt idx="82">
                        <c:v>m</c:v>
                      </c:pt>
                      <c:pt idx="83">
                        <c:v>Female</c:v>
                      </c:pt>
                      <c:pt idx="84">
                        <c:v>F</c:v>
                      </c:pt>
                      <c:pt idx="85">
                        <c:v>F</c:v>
                      </c:pt>
                      <c:pt idx="86">
                        <c:v>M</c:v>
                      </c:pt>
                      <c:pt idx="87">
                        <c:v>F</c:v>
                      </c:pt>
                      <c:pt idx="88">
                        <c:v>f</c:v>
                      </c:pt>
                      <c:pt idx="89">
                        <c:v>f</c:v>
                      </c:pt>
                      <c:pt idx="90">
                        <c:v>m</c:v>
                      </c:pt>
                      <c:pt idx="91">
                        <c:v>Male</c:v>
                      </c:pt>
                      <c:pt idx="92">
                        <c:v>m</c:v>
                      </c:pt>
                      <c:pt idx="93">
                        <c:v>M</c:v>
                      </c:pt>
                      <c:pt idx="94">
                        <c:v>F</c:v>
                      </c:pt>
                      <c:pt idx="95">
                        <c:v>M</c:v>
                      </c:pt>
                      <c:pt idx="96">
                        <c:v>m</c:v>
                      </c:pt>
                      <c:pt idx="97">
                        <c:v>Female</c:v>
                      </c:pt>
                      <c:pt idx="98">
                        <c:v>Female</c:v>
                      </c:pt>
                      <c:pt idx="99">
                        <c:v>f</c:v>
                      </c:pt>
                      <c:pt idx="100">
                        <c:v>Female</c:v>
                      </c:pt>
                      <c:pt idx="101">
                        <c:v>m</c:v>
                      </c:pt>
                      <c:pt idx="102">
                        <c:v>Female</c:v>
                      </c:pt>
                      <c:pt idx="103">
                        <c:v>Male</c:v>
                      </c:pt>
                      <c:pt idx="104">
                        <c:v>f</c:v>
                      </c:pt>
                      <c:pt idx="105">
                        <c:v>Male</c:v>
                      </c:pt>
                      <c:pt idx="106">
                        <c:v>Male</c:v>
                      </c:pt>
                      <c:pt idx="107">
                        <c:v>Male</c:v>
                      </c:pt>
                      <c:pt idx="108">
                        <c:v>Male</c:v>
                      </c:pt>
                      <c:pt idx="109">
                        <c:v>F</c:v>
                      </c:pt>
                      <c:pt idx="110">
                        <c:v>f</c:v>
                      </c:pt>
                      <c:pt idx="111">
                        <c:v>Male</c:v>
                      </c:pt>
                      <c:pt idx="112">
                        <c:v>m</c:v>
                      </c:pt>
                      <c:pt idx="113">
                        <c:v>M</c:v>
                      </c:pt>
                      <c:pt idx="114">
                        <c:v>m</c:v>
                      </c:pt>
                      <c:pt idx="115">
                        <c:v>Male</c:v>
                      </c:pt>
                      <c:pt idx="116">
                        <c:v>M</c:v>
                      </c:pt>
                      <c:pt idx="117">
                        <c:v>f</c:v>
                      </c:pt>
                      <c:pt idx="118">
                        <c:v>F</c:v>
                      </c:pt>
                      <c:pt idx="119">
                        <c:v>M</c:v>
                      </c:pt>
                      <c:pt idx="120">
                        <c:v>Female</c:v>
                      </c:pt>
                      <c:pt idx="121">
                        <c:v>M</c:v>
                      </c:pt>
                      <c:pt idx="122">
                        <c:v>F</c:v>
                      </c:pt>
                      <c:pt idx="123">
                        <c:v>Female</c:v>
                      </c:pt>
                      <c:pt idx="124">
                        <c:v>f</c:v>
                      </c:pt>
                      <c:pt idx="125">
                        <c:v>Female</c:v>
                      </c:pt>
                      <c:pt idx="126">
                        <c:v>M</c:v>
                      </c:pt>
                      <c:pt idx="127">
                        <c:v>Female</c:v>
                      </c:pt>
                      <c:pt idx="128">
                        <c:v>m</c:v>
                      </c:pt>
                      <c:pt idx="129">
                        <c:v>Female</c:v>
                      </c:pt>
                      <c:pt idx="130">
                        <c:v>M</c:v>
                      </c:pt>
                      <c:pt idx="131">
                        <c:v>m</c:v>
                      </c:pt>
                      <c:pt idx="132">
                        <c:v>Female</c:v>
                      </c:pt>
                      <c:pt idx="133">
                        <c:v>M</c:v>
                      </c:pt>
                      <c:pt idx="134">
                        <c:v>F</c:v>
                      </c:pt>
                      <c:pt idx="135">
                        <c:v>M</c:v>
                      </c:pt>
                      <c:pt idx="136">
                        <c:v>F</c:v>
                      </c:pt>
                      <c:pt idx="137">
                        <c:v>m</c:v>
                      </c:pt>
                      <c:pt idx="138">
                        <c:v>f</c:v>
                      </c:pt>
                      <c:pt idx="139">
                        <c:v>m</c:v>
                      </c:pt>
                      <c:pt idx="140">
                        <c:v>F</c:v>
                      </c:pt>
                      <c:pt idx="141">
                        <c:v>Male</c:v>
                      </c:pt>
                      <c:pt idx="142">
                        <c:v>m</c:v>
                      </c:pt>
                      <c:pt idx="143">
                        <c:v>m</c:v>
                      </c:pt>
                      <c:pt idx="144">
                        <c:v>Male</c:v>
                      </c:pt>
                      <c:pt idx="145">
                        <c:v>Male</c:v>
                      </c:pt>
                      <c:pt idx="146">
                        <c:v>f</c:v>
                      </c:pt>
                      <c:pt idx="147">
                        <c:v>Female</c:v>
                      </c:pt>
                      <c:pt idx="148">
                        <c:v>Female</c:v>
                      </c:pt>
                      <c:pt idx="149">
                        <c:v>Female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Raw_Data!$C$151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A02-4139-A9C5-2C8CE691DF6A}"/>
                  </c:ext>
                </c:extLst>
              </c15:ser>
            </c15:filteredPieSeries>
          </c:ext>
        </c:extLst>
      </c:pie3DChart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Raw_Data!$Q$19</c:f>
              <c:strCache>
                <c:ptCount val="1"/>
                <c:pt idx="0">
                  <c:v>COUNT</c:v>
                </c:pt>
              </c:strCache>
            </c:strRef>
          </c:tx>
          <c:explosion val="2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2-8F07-47BB-937B-7489ABC901F6}"/>
              </c:ext>
            </c:extLst>
          </c:dPt>
          <c:dPt>
            <c:idx val="2"/>
            <c:bubble3D val="0"/>
            <c:explosion val="9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F07-47BB-937B-7489ABC901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Raw_Data!$P$20:$P$23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Raw_Data!$Q$20:$Q$23</c:f>
              <c:numCache>
                <c:formatCode>General</c:formatCode>
                <c:ptCount val="4"/>
                <c:pt idx="0">
                  <c:v>3</c:v>
                </c:pt>
                <c:pt idx="1">
                  <c:v>62</c:v>
                </c:pt>
                <c:pt idx="2">
                  <c:v>70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7-47BB-937B-7489ABC901F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469257</xdr:colOff>
      <xdr:row>19</xdr:row>
      <xdr:rowOff>39105</xdr:rowOff>
    </xdr:from>
    <xdr:to>
      <xdr:col>14</xdr:col>
      <xdr:colOff>593089</xdr:colOff>
      <xdr:row>21</xdr:row>
      <xdr:rowOff>65175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B5EA0A-C087-525E-0E6C-82F29E846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206930</xdr:colOff>
      <xdr:row>19</xdr:row>
      <xdr:rowOff>169453</xdr:rowOff>
    </xdr:from>
    <xdr:to>
      <xdr:col>21</xdr:col>
      <xdr:colOff>136868</xdr:colOff>
      <xdr:row>31</xdr:row>
      <xdr:rowOff>61589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8E7341-95DA-A342-E32C-6F6DC9201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135236</xdr:colOff>
      <xdr:row>18</xdr:row>
      <xdr:rowOff>117314</xdr:rowOff>
    </xdr:from>
    <xdr:to>
      <xdr:col>20</xdr:col>
      <xdr:colOff>417117</xdr:colOff>
      <xdr:row>29</xdr:row>
      <xdr:rowOff>55071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41AAF1-D48E-EAD4-6813-8EB312578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1"/>
  <sheetViews>
    <sheetView tabSelected="1" zoomScale="92" workbookViewId="0">
      <selection activeCell="R17" sqref="R17"/>
    </sheetView>
  </sheetViews>
  <sheetFormatPr defaultRowHeight="15.05" x14ac:dyDescent="0.3"/>
  <cols>
    <col min="16" max="16" width="12.21875" customWidth="1"/>
    <col min="17" max="17" width="18.88671875" bestFit="1" customWidth="1"/>
    <col min="19" max="19" width="15.6640625" bestFit="1" customWidth="1"/>
    <col min="21" max="21" width="11" bestFit="1" customWidth="1"/>
    <col min="25" max="25" width="14.5546875" bestFit="1" customWidth="1"/>
    <col min="26" max="39" width="11" bestFit="1" customWidth="1"/>
  </cols>
  <sheetData>
    <row r="1" spans="1:39" x14ac:dyDescent="0.3">
      <c r="A1" s="21" t="s">
        <v>0</v>
      </c>
      <c r="B1" s="21" t="s">
        <v>1</v>
      </c>
      <c r="C1" s="22" t="s">
        <v>2</v>
      </c>
      <c r="D1" s="21" t="s">
        <v>3</v>
      </c>
      <c r="E1" s="21" t="s">
        <v>4</v>
      </c>
      <c r="F1" s="22" t="s">
        <v>5</v>
      </c>
      <c r="G1" s="21" t="s">
        <v>6</v>
      </c>
      <c r="H1" s="21" t="s">
        <v>7</v>
      </c>
      <c r="I1" s="21" t="s">
        <v>8</v>
      </c>
      <c r="J1" s="21" t="s">
        <v>65</v>
      </c>
      <c r="K1" s="21" t="s">
        <v>66</v>
      </c>
      <c r="L1" s="21" t="s">
        <v>67</v>
      </c>
      <c r="M1" s="21"/>
      <c r="N1" s="22" t="s">
        <v>114</v>
      </c>
      <c r="O1" s="23"/>
    </row>
    <row r="2" spans="1:39" x14ac:dyDescent="0.3">
      <c r="A2" s="17">
        <v>1</v>
      </c>
      <c r="B2" s="17" t="s">
        <v>9</v>
      </c>
      <c r="C2" s="17" t="s">
        <v>10</v>
      </c>
      <c r="D2" s="17" t="s">
        <v>11</v>
      </c>
      <c r="E2" s="17">
        <v>41</v>
      </c>
      <c r="F2" s="17">
        <v>93</v>
      </c>
      <c r="G2" s="17">
        <v>96</v>
      </c>
      <c r="H2" s="17">
        <v>63</v>
      </c>
      <c r="I2" s="17" t="s">
        <v>12</v>
      </c>
      <c r="J2" s="17">
        <f>SUM(E2:H2)</f>
        <v>293</v>
      </c>
      <c r="K2" s="17">
        <f>MAX(E2:H2)</f>
        <v>96</v>
      </c>
      <c r="L2" s="17">
        <f>MIN(E2:H2)</f>
        <v>41</v>
      </c>
      <c r="M2" s="17"/>
      <c r="N2" s="17" t="str">
        <f>IF(J2&gt;250,"PASS","FAIL")</f>
        <v>PASS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</row>
    <row r="3" spans="1:39" x14ac:dyDescent="0.3">
      <c r="A3" s="17">
        <v>2</v>
      </c>
      <c r="B3" s="17" t="s">
        <v>13</v>
      </c>
      <c r="C3" s="17" t="s">
        <v>14</v>
      </c>
      <c r="D3" s="17" t="s">
        <v>15</v>
      </c>
      <c r="E3" s="17">
        <v>37</v>
      </c>
      <c r="F3" s="17">
        <v>75</v>
      </c>
      <c r="G3" s="17">
        <v>35</v>
      </c>
      <c r="H3" s="17">
        <v>70</v>
      </c>
      <c r="I3" s="17" t="s">
        <v>16</v>
      </c>
      <c r="J3" s="17">
        <f t="shared" ref="J3:J66" si="0">SUM(E3:H3)</f>
        <v>217</v>
      </c>
      <c r="K3" s="17">
        <f t="shared" ref="K3:K66" si="1">MAX(E3:H3)</f>
        <v>75</v>
      </c>
      <c r="L3" s="17">
        <f t="shared" ref="L3:L66" si="2">MIN(E3:H3)</f>
        <v>35</v>
      </c>
      <c r="M3" s="17"/>
      <c r="N3" s="17" t="str">
        <f t="shared" ref="N3:N66" si="3">IF(J3&gt;250,"PASS","FAIL")</f>
        <v>FAIL</v>
      </c>
      <c r="Y3" t="str">
        <f>RIGHT(Y1,10)</f>
        <v/>
      </c>
      <c r="Z3" t="str">
        <f>RIGHT(Z1,10)</f>
        <v/>
      </c>
      <c r="AA3" t="str">
        <f>RIGHT(AA1,10)</f>
        <v/>
      </c>
      <c r="AB3" t="str">
        <f>RIGHT(AB1,10)</f>
        <v/>
      </c>
      <c r="AC3" t="str">
        <f>RIGHT(AC1,10)</f>
        <v/>
      </c>
      <c r="AD3" t="str">
        <f>RIGHT(AD1,10)</f>
        <v/>
      </c>
      <c r="AE3" t="str">
        <f>RIGHT(AE1,10)</f>
        <v/>
      </c>
      <c r="AF3" t="str">
        <f>RIGHT(AF1,10)</f>
        <v/>
      </c>
      <c r="AG3" t="str">
        <f>RIGHT(AG1,10)</f>
        <v/>
      </c>
      <c r="AH3" t="str">
        <f>RIGHT(AH1,10)</f>
        <v/>
      </c>
      <c r="AI3" t="str">
        <f>RIGHT(AI1,10)</f>
        <v/>
      </c>
      <c r="AJ3" t="str">
        <f>RIGHT(AJ1,10)</f>
        <v/>
      </c>
      <c r="AK3" t="str">
        <f>RIGHT(AK1,10)</f>
        <v/>
      </c>
      <c r="AL3" t="str">
        <f>RIGHT(AL1,10)</f>
        <v/>
      </c>
    </row>
    <row r="4" spans="1:39" x14ac:dyDescent="0.3">
      <c r="A4" s="17">
        <v>3</v>
      </c>
      <c r="B4" s="17" t="s">
        <v>17</v>
      </c>
      <c r="C4" s="17" t="s">
        <v>18</v>
      </c>
      <c r="D4" s="17" t="s">
        <v>19</v>
      </c>
      <c r="E4" s="17">
        <v>61</v>
      </c>
      <c r="F4" s="17">
        <v>60</v>
      </c>
      <c r="G4" s="17">
        <v>55</v>
      </c>
      <c r="H4" s="17">
        <v>83</v>
      </c>
      <c r="I4" s="17" t="s">
        <v>20</v>
      </c>
      <c r="J4" s="17">
        <f t="shared" si="0"/>
        <v>259</v>
      </c>
      <c r="K4" s="17">
        <f t="shared" si="1"/>
        <v>83</v>
      </c>
      <c r="L4" s="17">
        <f t="shared" si="2"/>
        <v>55</v>
      </c>
      <c r="M4" s="17"/>
      <c r="N4" s="17" t="str">
        <f t="shared" si="3"/>
        <v>PASS</v>
      </c>
      <c r="Q4" s="2" t="s">
        <v>65</v>
      </c>
      <c r="Y4" s="9" t="s">
        <v>71</v>
      </c>
    </row>
    <row r="5" spans="1:39" x14ac:dyDescent="0.3">
      <c r="A5" s="17">
        <v>4</v>
      </c>
      <c r="B5" s="17" t="s">
        <v>21</v>
      </c>
      <c r="C5" s="17" t="s">
        <v>22</v>
      </c>
      <c r="D5" s="17" t="s">
        <v>19</v>
      </c>
      <c r="E5" s="17">
        <v>62</v>
      </c>
      <c r="F5" s="17">
        <v>70</v>
      </c>
      <c r="G5" s="17">
        <v>84</v>
      </c>
      <c r="H5" s="17">
        <v>88</v>
      </c>
      <c r="I5" s="17" t="s">
        <v>12</v>
      </c>
      <c r="J5" s="17">
        <f t="shared" si="0"/>
        <v>304</v>
      </c>
      <c r="K5" s="17">
        <f t="shared" si="1"/>
        <v>88</v>
      </c>
      <c r="L5" s="17">
        <f t="shared" si="2"/>
        <v>62</v>
      </c>
      <c r="M5" s="17"/>
      <c r="N5" s="17" t="str">
        <f t="shared" si="3"/>
        <v>PASS</v>
      </c>
      <c r="Q5" s="3" t="s">
        <v>66</v>
      </c>
      <c r="S5" s="19">
        <v>916202838382</v>
      </c>
      <c r="U5" t="str">
        <f>RIGHT(S5,10)</f>
        <v>6202838382</v>
      </c>
      <c r="W5" t="str">
        <f>LEFT(S5,2)</f>
        <v>91</v>
      </c>
      <c r="Y5" t="s">
        <v>73</v>
      </c>
    </row>
    <row r="6" spans="1:39" x14ac:dyDescent="0.3">
      <c r="A6" s="17">
        <v>5</v>
      </c>
      <c r="B6" s="17" t="s">
        <v>23</v>
      </c>
      <c r="C6" s="17" t="s">
        <v>10</v>
      </c>
      <c r="D6" s="17" t="s">
        <v>24</v>
      </c>
      <c r="E6" s="17">
        <v>85</v>
      </c>
      <c r="F6" s="17">
        <v>96</v>
      </c>
      <c r="G6" s="17">
        <v>37</v>
      </c>
      <c r="H6" s="17">
        <v>68</v>
      </c>
      <c r="I6" s="17" t="s">
        <v>12</v>
      </c>
      <c r="J6" s="17">
        <f t="shared" si="0"/>
        <v>286</v>
      </c>
      <c r="K6" s="17">
        <f t="shared" si="1"/>
        <v>96</v>
      </c>
      <c r="L6" s="17">
        <f t="shared" si="2"/>
        <v>37</v>
      </c>
      <c r="M6" s="17"/>
      <c r="N6" s="17" t="str">
        <f t="shared" si="3"/>
        <v>PASS</v>
      </c>
      <c r="Q6" s="4" t="s">
        <v>67</v>
      </c>
      <c r="S6" s="19">
        <v>918229293921</v>
      </c>
      <c r="U6" t="str">
        <f t="shared" ref="U6:U18" si="4">RIGHT(S6,10)</f>
        <v>8229293921</v>
      </c>
      <c r="W6" t="str">
        <f t="shared" ref="W6:W18" si="5">LEFT(S6,2)</f>
        <v>91</v>
      </c>
      <c r="Y6" t="s">
        <v>74</v>
      </c>
    </row>
    <row r="7" spans="1:39" x14ac:dyDescent="0.3">
      <c r="A7" s="17">
        <v>6</v>
      </c>
      <c r="B7" s="17" t="s">
        <v>25</v>
      </c>
      <c r="C7" s="17" t="s">
        <v>18</v>
      </c>
      <c r="D7" s="17" t="s">
        <v>24</v>
      </c>
      <c r="E7" s="17">
        <v>85</v>
      </c>
      <c r="F7" s="17">
        <v>77</v>
      </c>
      <c r="G7" s="17">
        <v>43</v>
      </c>
      <c r="H7" s="17">
        <v>36</v>
      </c>
      <c r="I7" s="17" t="s">
        <v>20</v>
      </c>
      <c r="J7" s="17">
        <f t="shared" si="0"/>
        <v>241</v>
      </c>
      <c r="K7" s="17">
        <f t="shared" si="1"/>
        <v>85</v>
      </c>
      <c r="L7" s="17">
        <f t="shared" si="2"/>
        <v>36</v>
      </c>
      <c r="M7" s="17"/>
      <c r="N7" s="17" t="str">
        <f t="shared" si="3"/>
        <v>FAIL</v>
      </c>
      <c r="Q7" s="4" t="s">
        <v>68</v>
      </c>
      <c r="S7" s="19">
        <v>920255749460</v>
      </c>
      <c r="U7" t="str">
        <f t="shared" si="4"/>
        <v>0255749460</v>
      </c>
      <c r="W7" t="str">
        <f t="shared" si="5"/>
        <v>92</v>
      </c>
      <c r="Y7" t="s">
        <v>75</v>
      </c>
    </row>
    <row r="8" spans="1:39" x14ac:dyDescent="0.3">
      <c r="A8" s="17">
        <v>7</v>
      </c>
      <c r="B8" s="17" t="s">
        <v>26</v>
      </c>
      <c r="C8" s="17" t="s">
        <v>18</v>
      </c>
      <c r="D8" s="17" t="s">
        <v>27</v>
      </c>
      <c r="E8" s="17">
        <v>54</v>
      </c>
      <c r="F8" s="17">
        <v>48</v>
      </c>
      <c r="G8" s="17">
        <v>63</v>
      </c>
      <c r="H8" s="17">
        <v>73</v>
      </c>
      <c r="I8" s="17" t="s">
        <v>20</v>
      </c>
      <c r="J8" s="17">
        <f t="shared" si="0"/>
        <v>238</v>
      </c>
      <c r="K8" s="17">
        <f t="shared" si="1"/>
        <v>73</v>
      </c>
      <c r="L8" s="17">
        <f t="shared" si="2"/>
        <v>48</v>
      </c>
      <c r="M8" s="17"/>
      <c r="N8" s="17" t="str">
        <f t="shared" si="3"/>
        <v>FAIL</v>
      </c>
      <c r="Q8" s="5" t="s">
        <v>69</v>
      </c>
      <c r="S8" s="19">
        <v>922282204999</v>
      </c>
      <c r="U8" t="str">
        <f t="shared" si="4"/>
        <v>2282204999</v>
      </c>
      <c r="W8" t="str">
        <f t="shared" si="5"/>
        <v>92</v>
      </c>
      <c r="Y8" t="s">
        <v>76</v>
      </c>
    </row>
    <row r="9" spans="1:39" x14ac:dyDescent="0.3">
      <c r="A9" s="17">
        <v>8</v>
      </c>
      <c r="B9" s="17" t="s">
        <v>17</v>
      </c>
      <c r="C9" s="17" t="s">
        <v>28</v>
      </c>
      <c r="D9" s="17" t="s">
        <v>29</v>
      </c>
      <c r="E9" s="17">
        <v>64</v>
      </c>
      <c r="F9" s="17">
        <v>58</v>
      </c>
      <c r="G9" s="17">
        <v>37</v>
      </c>
      <c r="H9" s="17">
        <v>63</v>
      </c>
      <c r="I9" s="17" t="s">
        <v>20</v>
      </c>
      <c r="J9" s="17">
        <f t="shared" si="0"/>
        <v>222</v>
      </c>
      <c r="K9" s="17">
        <f t="shared" si="1"/>
        <v>64</v>
      </c>
      <c r="L9" s="17">
        <f t="shared" si="2"/>
        <v>37</v>
      </c>
      <c r="M9" s="17"/>
      <c r="N9" s="17" t="str">
        <f t="shared" si="3"/>
        <v>FAIL</v>
      </c>
      <c r="Q9" s="6" t="s">
        <v>70</v>
      </c>
      <c r="S9" s="19">
        <v>924308660538</v>
      </c>
      <c r="U9" t="str">
        <f t="shared" si="4"/>
        <v>4308660538</v>
      </c>
      <c r="W9" t="str">
        <f t="shared" si="5"/>
        <v>92</v>
      </c>
      <c r="Y9" t="s">
        <v>77</v>
      </c>
    </row>
    <row r="10" spans="1:39" x14ac:dyDescent="0.3">
      <c r="A10" s="17">
        <v>9</v>
      </c>
      <c r="B10" s="17" t="s">
        <v>21</v>
      </c>
      <c r="C10" s="17" t="s">
        <v>30</v>
      </c>
      <c r="D10" s="17" t="s">
        <v>31</v>
      </c>
      <c r="E10" s="17">
        <v>100</v>
      </c>
      <c r="F10" s="17">
        <v>42</v>
      </c>
      <c r="G10" s="17">
        <v>89</v>
      </c>
      <c r="H10" s="17">
        <v>46</v>
      </c>
      <c r="I10" s="17" t="s">
        <v>20</v>
      </c>
      <c r="J10" s="17">
        <f t="shared" si="0"/>
        <v>277</v>
      </c>
      <c r="K10" s="17">
        <f t="shared" si="1"/>
        <v>100</v>
      </c>
      <c r="L10" s="17">
        <f t="shared" si="2"/>
        <v>42</v>
      </c>
      <c r="M10" s="17"/>
      <c r="N10" s="17" t="str">
        <f t="shared" si="3"/>
        <v>PASS</v>
      </c>
      <c r="Q10" s="7" t="s">
        <v>71</v>
      </c>
      <c r="S10" s="19">
        <v>926335116077</v>
      </c>
      <c r="U10" t="str">
        <f t="shared" si="4"/>
        <v>6335116077</v>
      </c>
      <c r="W10" t="str">
        <f t="shared" si="5"/>
        <v>92</v>
      </c>
      <c r="Y10" t="s">
        <v>78</v>
      </c>
    </row>
    <row r="11" spans="1:39" x14ac:dyDescent="0.3">
      <c r="A11" s="17">
        <v>10</v>
      </c>
      <c r="B11" s="17" t="s">
        <v>23</v>
      </c>
      <c r="C11" s="17" t="s">
        <v>10</v>
      </c>
      <c r="D11" s="17" t="s">
        <v>29</v>
      </c>
      <c r="E11" s="17">
        <v>56</v>
      </c>
      <c r="F11" s="17">
        <v>93</v>
      </c>
      <c r="G11" s="17">
        <v>43</v>
      </c>
      <c r="H11" s="17">
        <v>41</v>
      </c>
      <c r="I11" s="17" t="s">
        <v>20</v>
      </c>
      <c r="J11" s="17">
        <f t="shared" si="0"/>
        <v>233</v>
      </c>
      <c r="K11" s="17">
        <f t="shared" si="1"/>
        <v>93</v>
      </c>
      <c r="L11" s="17">
        <f t="shared" si="2"/>
        <v>41</v>
      </c>
      <c r="M11" s="17"/>
      <c r="N11" s="17" t="str">
        <f t="shared" si="3"/>
        <v>FAIL</v>
      </c>
      <c r="Q11" s="8" t="s">
        <v>72</v>
      </c>
      <c r="S11" s="19">
        <v>928361571616</v>
      </c>
      <c r="U11" t="str">
        <f t="shared" si="4"/>
        <v>8361571616</v>
      </c>
      <c r="W11" t="str">
        <f t="shared" si="5"/>
        <v>92</v>
      </c>
      <c r="Y11" t="s">
        <v>79</v>
      </c>
    </row>
    <row r="12" spans="1:39" x14ac:dyDescent="0.3">
      <c r="A12" s="17">
        <v>11</v>
      </c>
      <c r="B12" s="17" t="s">
        <v>9</v>
      </c>
      <c r="C12" s="17" t="s">
        <v>22</v>
      </c>
      <c r="D12" s="17" t="s">
        <v>29</v>
      </c>
      <c r="E12" s="17">
        <v>80</v>
      </c>
      <c r="F12" s="17">
        <v>45</v>
      </c>
      <c r="G12" s="17">
        <v>64</v>
      </c>
      <c r="H12" s="17">
        <v>94</v>
      </c>
      <c r="I12" s="17" t="s">
        <v>12</v>
      </c>
      <c r="J12" s="17">
        <f t="shared" si="0"/>
        <v>283</v>
      </c>
      <c r="K12" s="17">
        <f t="shared" si="1"/>
        <v>94</v>
      </c>
      <c r="L12" s="17">
        <f t="shared" si="2"/>
        <v>45</v>
      </c>
      <c r="M12" s="17"/>
      <c r="N12" s="17" t="str">
        <f t="shared" si="3"/>
        <v>PASS</v>
      </c>
      <c r="S12" s="19">
        <v>930388027155</v>
      </c>
      <c r="U12" t="str">
        <f t="shared" si="4"/>
        <v>0388027155</v>
      </c>
      <c r="W12" t="str">
        <f t="shared" si="5"/>
        <v>93</v>
      </c>
      <c r="Y12" t="s">
        <v>80</v>
      </c>
    </row>
    <row r="13" spans="1:39" x14ac:dyDescent="0.3">
      <c r="A13" s="17">
        <v>12</v>
      </c>
      <c r="B13" s="17" t="s">
        <v>32</v>
      </c>
      <c r="C13" s="17" t="s">
        <v>28</v>
      </c>
      <c r="D13" s="17" t="s">
        <v>24</v>
      </c>
      <c r="E13" s="17">
        <v>53</v>
      </c>
      <c r="F13" s="17">
        <v>59</v>
      </c>
      <c r="G13" s="17">
        <v>35</v>
      </c>
      <c r="H13" s="17">
        <v>58</v>
      </c>
      <c r="I13" s="17" t="s">
        <v>16</v>
      </c>
      <c r="J13" s="17">
        <f t="shared" si="0"/>
        <v>205</v>
      </c>
      <c r="K13" s="17">
        <f t="shared" si="1"/>
        <v>59</v>
      </c>
      <c r="L13" s="17">
        <f t="shared" si="2"/>
        <v>35</v>
      </c>
      <c r="M13" s="17"/>
      <c r="N13" s="17" t="str">
        <f t="shared" si="3"/>
        <v>FAIL</v>
      </c>
      <c r="S13" s="19">
        <v>932414482694</v>
      </c>
      <c r="U13" t="str">
        <f t="shared" si="4"/>
        <v>2414482694</v>
      </c>
      <c r="W13" t="str">
        <f t="shared" si="5"/>
        <v>93</v>
      </c>
      <c r="Y13" t="s">
        <v>81</v>
      </c>
    </row>
    <row r="14" spans="1:39" x14ac:dyDescent="0.3">
      <c r="A14" s="17">
        <v>13</v>
      </c>
      <c r="B14" s="17" t="s">
        <v>25</v>
      </c>
      <c r="C14" s="17" t="s">
        <v>30</v>
      </c>
      <c r="D14" s="17" t="s">
        <v>33</v>
      </c>
      <c r="E14" s="17">
        <v>78</v>
      </c>
      <c r="F14" s="17">
        <v>45</v>
      </c>
      <c r="G14" s="17">
        <v>54</v>
      </c>
      <c r="H14" s="17">
        <v>70</v>
      </c>
      <c r="I14" s="17" t="s">
        <v>20</v>
      </c>
      <c r="J14" s="17">
        <f t="shared" si="0"/>
        <v>247</v>
      </c>
      <c r="K14" s="17">
        <f t="shared" si="1"/>
        <v>78</v>
      </c>
      <c r="L14" s="17">
        <f t="shared" si="2"/>
        <v>45</v>
      </c>
      <c r="M14" s="17"/>
      <c r="N14" s="17" t="str">
        <f t="shared" si="3"/>
        <v>FAIL</v>
      </c>
      <c r="P14" s="9" t="s">
        <v>115</v>
      </c>
      <c r="Q14" s="15" t="s">
        <v>113</v>
      </c>
      <c r="S14" s="19">
        <v>934440938233</v>
      </c>
      <c r="U14" t="str">
        <f t="shared" si="4"/>
        <v>4440938233</v>
      </c>
      <c r="W14" t="str">
        <f t="shared" si="5"/>
        <v>93</v>
      </c>
      <c r="Y14" t="s">
        <v>82</v>
      </c>
    </row>
    <row r="15" spans="1:39" x14ac:dyDescent="0.3">
      <c r="A15" s="17">
        <v>14</v>
      </c>
      <c r="B15" s="17" t="s">
        <v>34</v>
      </c>
      <c r="C15" s="17" t="s">
        <v>28</v>
      </c>
      <c r="D15" s="17" t="s">
        <v>19</v>
      </c>
      <c r="E15" s="17">
        <v>58</v>
      </c>
      <c r="F15" s="17">
        <v>45</v>
      </c>
      <c r="G15" s="17">
        <v>49</v>
      </c>
      <c r="H15" s="17">
        <v>39</v>
      </c>
      <c r="I15" s="17" t="s">
        <v>16</v>
      </c>
      <c r="J15" s="17">
        <f t="shared" si="0"/>
        <v>191</v>
      </c>
      <c r="K15" s="17">
        <f t="shared" si="1"/>
        <v>58</v>
      </c>
      <c r="L15" s="17">
        <f t="shared" si="2"/>
        <v>39</v>
      </c>
      <c r="M15" s="17"/>
      <c r="N15" s="17" t="str">
        <f t="shared" si="3"/>
        <v>FAIL</v>
      </c>
      <c r="S15" s="19">
        <v>936467393772</v>
      </c>
      <c r="U15" t="str">
        <f t="shared" si="4"/>
        <v>6467393772</v>
      </c>
      <c r="W15" t="str">
        <f t="shared" si="5"/>
        <v>93</v>
      </c>
      <c r="Y15" t="s">
        <v>83</v>
      </c>
    </row>
    <row r="16" spans="1:39" x14ac:dyDescent="0.3">
      <c r="A16" s="17">
        <v>15</v>
      </c>
      <c r="B16" s="17" t="s">
        <v>34</v>
      </c>
      <c r="C16" s="17" t="s">
        <v>22</v>
      </c>
      <c r="D16" s="17" t="s">
        <v>19</v>
      </c>
      <c r="E16" s="17">
        <v>43</v>
      </c>
      <c r="F16" s="17">
        <v>83</v>
      </c>
      <c r="G16" s="17">
        <v>90</v>
      </c>
      <c r="H16" s="17">
        <v>80</v>
      </c>
      <c r="I16" s="17" t="s">
        <v>12</v>
      </c>
      <c r="J16" s="17">
        <f t="shared" si="0"/>
        <v>296</v>
      </c>
      <c r="K16" s="17">
        <f t="shared" si="1"/>
        <v>90</v>
      </c>
      <c r="L16" s="17">
        <f t="shared" si="2"/>
        <v>43</v>
      </c>
      <c r="M16" s="17"/>
      <c r="N16" s="17" t="str">
        <f t="shared" si="3"/>
        <v>PASS</v>
      </c>
      <c r="S16" s="19">
        <v>938493849311</v>
      </c>
      <c r="U16" t="str">
        <f t="shared" si="4"/>
        <v>8493849311</v>
      </c>
      <c r="W16" t="str">
        <f t="shared" si="5"/>
        <v>93</v>
      </c>
      <c r="Y16" t="s">
        <v>84</v>
      </c>
    </row>
    <row r="17" spans="1:25" x14ac:dyDescent="0.3">
      <c r="A17" s="17">
        <v>16</v>
      </c>
      <c r="B17" s="17" t="s">
        <v>35</v>
      </c>
      <c r="C17" s="17" t="s">
        <v>18</v>
      </c>
      <c r="D17" s="17" t="s">
        <v>36</v>
      </c>
      <c r="E17" s="17">
        <v>62</v>
      </c>
      <c r="F17" s="17">
        <v>46</v>
      </c>
      <c r="G17" s="17">
        <v>35</v>
      </c>
      <c r="H17" s="17">
        <v>47</v>
      </c>
      <c r="I17" s="17" t="s">
        <v>16</v>
      </c>
      <c r="J17" s="17">
        <f t="shared" si="0"/>
        <v>190</v>
      </c>
      <c r="K17" s="17">
        <f t="shared" si="1"/>
        <v>62</v>
      </c>
      <c r="L17" s="17">
        <f t="shared" si="2"/>
        <v>35</v>
      </c>
      <c r="M17" s="17"/>
      <c r="N17" s="17" t="str">
        <f t="shared" si="3"/>
        <v>FAIL</v>
      </c>
      <c r="P17" s="16" t="s">
        <v>116</v>
      </c>
      <c r="S17" s="19">
        <v>940520304850</v>
      </c>
      <c r="U17" t="str">
        <f t="shared" si="4"/>
        <v>0520304850</v>
      </c>
      <c r="W17" t="str">
        <f t="shared" si="5"/>
        <v>94</v>
      </c>
      <c r="Y17" t="s">
        <v>85</v>
      </c>
    </row>
    <row r="18" spans="1:25" x14ac:dyDescent="0.3">
      <c r="A18" s="17">
        <v>17</v>
      </c>
      <c r="B18" s="17" t="s">
        <v>23</v>
      </c>
      <c r="C18" s="17" t="s">
        <v>22</v>
      </c>
      <c r="D18" s="17" t="s">
        <v>15</v>
      </c>
      <c r="E18" s="17">
        <v>47</v>
      </c>
      <c r="F18" s="17">
        <v>83</v>
      </c>
      <c r="G18" s="17">
        <v>41</v>
      </c>
      <c r="H18" s="17">
        <v>61</v>
      </c>
      <c r="I18" s="17" t="s">
        <v>20</v>
      </c>
      <c r="J18" s="17">
        <f t="shared" si="0"/>
        <v>232</v>
      </c>
      <c r="K18" s="17">
        <f t="shared" si="1"/>
        <v>83</v>
      </c>
      <c r="L18" s="17">
        <f t="shared" si="2"/>
        <v>41</v>
      </c>
      <c r="M18" s="17"/>
      <c r="N18" s="17" t="str">
        <f t="shared" si="3"/>
        <v>FAIL</v>
      </c>
      <c r="S18" s="19">
        <v>942546760389</v>
      </c>
      <c r="U18" t="str">
        <f t="shared" si="4"/>
        <v>2546760389</v>
      </c>
      <c r="W18" t="str">
        <f t="shared" si="5"/>
        <v>94</v>
      </c>
      <c r="Y18" t="s">
        <v>86</v>
      </c>
    </row>
    <row r="19" spans="1:25" x14ac:dyDescent="0.3">
      <c r="A19" s="17">
        <v>18</v>
      </c>
      <c r="B19" s="17" t="s">
        <v>17</v>
      </c>
      <c r="C19" s="17" t="s">
        <v>22</v>
      </c>
      <c r="D19" s="17" t="s">
        <v>33</v>
      </c>
      <c r="E19" s="17">
        <v>88</v>
      </c>
      <c r="F19" s="17">
        <v>36</v>
      </c>
      <c r="G19" s="17">
        <v>79</v>
      </c>
      <c r="H19" s="17">
        <v>89</v>
      </c>
      <c r="I19" s="17" t="s">
        <v>12</v>
      </c>
      <c r="J19" s="17">
        <f t="shared" si="0"/>
        <v>292</v>
      </c>
      <c r="K19" s="17">
        <f t="shared" si="1"/>
        <v>89</v>
      </c>
      <c r="L19" s="17">
        <f t="shared" si="2"/>
        <v>36</v>
      </c>
      <c r="M19" s="17"/>
      <c r="N19" s="17" t="str">
        <f t="shared" si="3"/>
        <v>PASS</v>
      </c>
      <c r="P19" s="18" t="s">
        <v>117</v>
      </c>
      <c r="Q19" s="18" t="s">
        <v>118</v>
      </c>
    </row>
    <row r="20" spans="1:25" x14ac:dyDescent="0.3">
      <c r="A20" s="17">
        <v>19</v>
      </c>
      <c r="B20" s="17" t="s">
        <v>37</v>
      </c>
      <c r="C20" s="17" t="s">
        <v>30</v>
      </c>
      <c r="D20" s="17" t="s">
        <v>24</v>
      </c>
      <c r="E20" s="17">
        <v>54</v>
      </c>
      <c r="F20" s="17">
        <v>78</v>
      </c>
      <c r="G20" s="17">
        <v>73</v>
      </c>
      <c r="H20" s="17">
        <v>63</v>
      </c>
      <c r="I20" s="17" t="s">
        <v>20</v>
      </c>
      <c r="J20" s="17">
        <f t="shared" si="0"/>
        <v>268</v>
      </c>
      <c r="K20" s="17">
        <f t="shared" si="1"/>
        <v>78</v>
      </c>
      <c r="L20" s="17">
        <f t="shared" si="2"/>
        <v>54</v>
      </c>
      <c r="M20" s="17"/>
      <c r="N20" s="17" t="str">
        <f t="shared" si="3"/>
        <v>PASS</v>
      </c>
      <c r="P20" s="17" t="s">
        <v>46</v>
      </c>
      <c r="Q20" s="17">
        <f>COUNTIF(I:I,P20)</f>
        <v>3</v>
      </c>
    </row>
    <row r="21" spans="1:25" x14ac:dyDescent="0.3">
      <c r="A21" s="17">
        <v>20</v>
      </c>
      <c r="B21" s="17" t="s">
        <v>38</v>
      </c>
      <c r="C21" s="17" t="s">
        <v>30</v>
      </c>
      <c r="D21" s="17" t="s">
        <v>39</v>
      </c>
      <c r="E21" s="17">
        <v>70</v>
      </c>
      <c r="F21" s="17">
        <v>53</v>
      </c>
      <c r="G21" s="17">
        <v>61</v>
      </c>
      <c r="H21" s="17">
        <v>56</v>
      </c>
      <c r="I21" s="17" t="s">
        <v>20</v>
      </c>
      <c r="J21" s="17">
        <f t="shared" si="0"/>
        <v>240</v>
      </c>
      <c r="K21" s="17">
        <f t="shared" si="1"/>
        <v>70</v>
      </c>
      <c r="L21" s="17">
        <f t="shared" si="2"/>
        <v>53</v>
      </c>
      <c r="M21" s="17"/>
      <c r="N21" s="17" t="str">
        <f t="shared" si="3"/>
        <v>FAIL</v>
      </c>
      <c r="P21" s="17" t="s">
        <v>12</v>
      </c>
      <c r="Q21" s="17">
        <f t="shared" ref="Q21:Q23" si="6">COUNTIF(I:I,P21)</f>
        <v>62</v>
      </c>
    </row>
    <row r="22" spans="1:25" x14ac:dyDescent="0.3">
      <c r="A22" s="17">
        <v>21</v>
      </c>
      <c r="B22" s="17" t="s">
        <v>38</v>
      </c>
      <c r="C22" s="17" t="s">
        <v>22</v>
      </c>
      <c r="D22" s="17" t="s">
        <v>29</v>
      </c>
      <c r="E22" s="17">
        <v>57</v>
      </c>
      <c r="F22" s="17">
        <v>87</v>
      </c>
      <c r="G22" s="17">
        <v>51</v>
      </c>
      <c r="H22" s="17">
        <v>35</v>
      </c>
      <c r="I22" s="17" t="s">
        <v>20</v>
      </c>
      <c r="J22" s="17">
        <f t="shared" si="0"/>
        <v>230</v>
      </c>
      <c r="K22" s="17">
        <f t="shared" si="1"/>
        <v>87</v>
      </c>
      <c r="L22" s="17">
        <f t="shared" si="2"/>
        <v>35</v>
      </c>
      <c r="M22" s="17"/>
      <c r="N22" s="17" t="str">
        <f t="shared" si="3"/>
        <v>FAIL</v>
      </c>
      <c r="P22" s="17" t="s">
        <v>20</v>
      </c>
      <c r="Q22" s="17">
        <f t="shared" si="6"/>
        <v>70</v>
      </c>
    </row>
    <row r="23" spans="1:25" x14ac:dyDescent="0.3">
      <c r="A23" s="17">
        <v>22</v>
      </c>
      <c r="B23" s="17" t="s">
        <v>40</v>
      </c>
      <c r="C23" s="17" t="s">
        <v>22</v>
      </c>
      <c r="D23" s="17" t="s">
        <v>27</v>
      </c>
      <c r="E23" s="17">
        <v>35</v>
      </c>
      <c r="F23" s="17">
        <v>49</v>
      </c>
      <c r="G23" s="17">
        <v>39</v>
      </c>
      <c r="H23" s="17">
        <v>55</v>
      </c>
      <c r="I23" s="17" t="s">
        <v>16</v>
      </c>
      <c r="J23" s="17">
        <f t="shared" si="0"/>
        <v>178</v>
      </c>
      <c r="K23" s="17">
        <f t="shared" si="1"/>
        <v>55</v>
      </c>
      <c r="L23" s="17">
        <f t="shared" si="2"/>
        <v>35</v>
      </c>
      <c r="M23" s="17"/>
      <c r="N23" s="17" t="str">
        <f t="shared" si="3"/>
        <v>FAIL</v>
      </c>
      <c r="P23" s="17" t="s">
        <v>16</v>
      </c>
      <c r="Q23" s="17">
        <f t="shared" si="6"/>
        <v>15</v>
      </c>
    </row>
    <row r="24" spans="1:25" x14ac:dyDescent="0.3">
      <c r="A24" s="17">
        <v>23</v>
      </c>
      <c r="B24" s="17" t="s">
        <v>41</v>
      </c>
      <c r="C24" s="17" t="s">
        <v>14</v>
      </c>
      <c r="D24" s="17" t="s">
        <v>15</v>
      </c>
      <c r="E24" s="17">
        <v>78</v>
      </c>
      <c r="F24" s="17">
        <v>82</v>
      </c>
      <c r="G24" s="17">
        <v>72</v>
      </c>
      <c r="H24" s="17">
        <v>35</v>
      </c>
      <c r="I24" s="17" t="s">
        <v>20</v>
      </c>
      <c r="J24" s="17">
        <f t="shared" si="0"/>
        <v>267</v>
      </c>
      <c r="K24" s="17">
        <f t="shared" si="1"/>
        <v>82</v>
      </c>
      <c r="L24" s="17">
        <f t="shared" si="2"/>
        <v>35</v>
      </c>
      <c r="M24" s="17"/>
      <c r="N24" s="17" t="str">
        <f t="shared" si="3"/>
        <v>PASS</v>
      </c>
    </row>
    <row r="25" spans="1:25" x14ac:dyDescent="0.3">
      <c r="A25" s="17">
        <v>24</v>
      </c>
      <c r="B25" s="17" t="s">
        <v>35</v>
      </c>
      <c r="C25" s="17" t="s">
        <v>22</v>
      </c>
      <c r="D25" s="17" t="s">
        <v>11</v>
      </c>
      <c r="E25" s="17">
        <v>91</v>
      </c>
      <c r="F25" s="17">
        <v>53</v>
      </c>
      <c r="G25" s="17">
        <v>45</v>
      </c>
      <c r="H25" s="17">
        <v>75</v>
      </c>
      <c r="I25" s="17" t="s">
        <v>20</v>
      </c>
      <c r="J25" s="17">
        <f t="shared" si="0"/>
        <v>264</v>
      </c>
      <c r="K25" s="17">
        <f t="shared" si="1"/>
        <v>91</v>
      </c>
      <c r="L25" s="17">
        <f t="shared" si="2"/>
        <v>45</v>
      </c>
      <c r="M25" s="17"/>
      <c r="N25" s="17" t="str">
        <f t="shared" si="3"/>
        <v>PASS</v>
      </c>
    </row>
    <row r="26" spans="1:25" x14ac:dyDescent="0.3">
      <c r="A26" s="17">
        <v>25</v>
      </c>
      <c r="B26" s="17" t="s">
        <v>25</v>
      </c>
      <c r="C26" s="17" t="s">
        <v>28</v>
      </c>
      <c r="D26" s="17" t="s">
        <v>42</v>
      </c>
      <c r="E26" s="17">
        <v>41</v>
      </c>
      <c r="F26" s="17">
        <v>36</v>
      </c>
      <c r="G26" s="17">
        <v>47</v>
      </c>
      <c r="H26" s="17">
        <v>54</v>
      </c>
      <c r="I26" s="17" t="s">
        <v>16</v>
      </c>
      <c r="J26" s="17">
        <f t="shared" si="0"/>
        <v>178</v>
      </c>
      <c r="K26" s="17">
        <f t="shared" si="1"/>
        <v>54</v>
      </c>
      <c r="L26" s="17">
        <f t="shared" si="2"/>
        <v>36</v>
      </c>
      <c r="M26" s="17"/>
      <c r="N26" s="17" t="str">
        <f t="shared" si="3"/>
        <v>FAIL</v>
      </c>
      <c r="P26" s="20" t="s">
        <v>119</v>
      </c>
      <c r="Q26" s="17">
        <f>COUNTIF(N:N,P26)</f>
        <v>100</v>
      </c>
    </row>
    <row r="27" spans="1:25" x14ac:dyDescent="0.3">
      <c r="A27" s="17">
        <v>26</v>
      </c>
      <c r="B27" s="17" t="s">
        <v>43</v>
      </c>
      <c r="C27" s="17" t="s">
        <v>10</v>
      </c>
      <c r="D27" s="17" t="s">
        <v>33</v>
      </c>
      <c r="E27" s="17">
        <v>74</v>
      </c>
      <c r="F27" s="17">
        <v>37</v>
      </c>
      <c r="G27" s="17">
        <v>38</v>
      </c>
      <c r="H27" s="17">
        <v>87</v>
      </c>
      <c r="I27" s="17" t="s">
        <v>20</v>
      </c>
      <c r="J27" s="17">
        <f t="shared" si="0"/>
        <v>236</v>
      </c>
      <c r="K27" s="17">
        <f t="shared" si="1"/>
        <v>87</v>
      </c>
      <c r="L27" s="17">
        <f t="shared" si="2"/>
        <v>37</v>
      </c>
      <c r="M27" s="17"/>
      <c r="N27" s="17" t="str">
        <f t="shared" si="3"/>
        <v>FAIL</v>
      </c>
      <c r="P27" s="20" t="s">
        <v>120</v>
      </c>
      <c r="Q27" s="17">
        <f>COUNTIF(N:N,P27)</f>
        <v>50</v>
      </c>
    </row>
    <row r="28" spans="1:25" x14ac:dyDescent="0.3">
      <c r="A28" s="17">
        <v>27</v>
      </c>
      <c r="B28" s="17" t="s">
        <v>44</v>
      </c>
      <c r="C28" s="17" t="s">
        <v>18</v>
      </c>
      <c r="D28" s="17" t="s">
        <v>19</v>
      </c>
      <c r="E28" s="17">
        <v>52</v>
      </c>
      <c r="F28" s="17">
        <v>49</v>
      </c>
      <c r="G28" s="17">
        <v>65</v>
      </c>
      <c r="H28" s="17">
        <v>36</v>
      </c>
      <c r="I28" s="17" t="s">
        <v>16</v>
      </c>
      <c r="J28" s="17">
        <f t="shared" si="0"/>
        <v>202</v>
      </c>
      <c r="K28" s="17">
        <f t="shared" si="1"/>
        <v>65</v>
      </c>
      <c r="L28" s="17">
        <f t="shared" si="2"/>
        <v>36</v>
      </c>
      <c r="M28" s="17"/>
      <c r="N28" s="17" t="str">
        <f t="shared" si="3"/>
        <v>FAIL</v>
      </c>
    </row>
    <row r="29" spans="1:25" x14ac:dyDescent="0.3">
      <c r="A29" s="17">
        <v>28</v>
      </c>
      <c r="B29" s="17" t="s">
        <v>35</v>
      </c>
      <c r="C29" s="17" t="s">
        <v>22</v>
      </c>
      <c r="D29" s="17" t="s">
        <v>42</v>
      </c>
      <c r="E29" s="17">
        <v>89</v>
      </c>
      <c r="F29" s="17">
        <v>87</v>
      </c>
      <c r="G29" s="17">
        <v>47</v>
      </c>
      <c r="H29" s="17">
        <v>93</v>
      </c>
      <c r="I29" s="17" t="s">
        <v>12</v>
      </c>
      <c r="J29" s="17">
        <f t="shared" si="0"/>
        <v>316</v>
      </c>
      <c r="K29" s="17">
        <f t="shared" si="1"/>
        <v>93</v>
      </c>
      <c r="L29" s="17">
        <f t="shared" si="2"/>
        <v>47</v>
      </c>
      <c r="M29" s="17"/>
      <c r="N29" s="17" t="str">
        <f t="shared" si="3"/>
        <v>PASS</v>
      </c>
    </row>
    <row r="30" spans="1:25" x14ac:dyDescent="0.3">
      <c r="A30" s="17">
        <v>29</v>
      </c>
      <c r="B30" s="17" t="s">
        <v>21</v>
      </c>
      <c r="C30" s="17" t="s">
        <v>18</v>
      </c>
      <c r="D30" s="17" t="s">
        <v>33</v>
      </c>
      <c r="E30" s="17">
        <v>52</v>
      </c>
      <c r="F30" s="17">
        <v>95</v>
      </c>
      <c r="G30" s="17">
        <v>93</v>
      </c>
      <c r="H30" s="17">
        <v>78</v>
      </c>
      <c r="I30" s="17" t="s">
        <v>12</v>
      </c>
      <c r="J30" s="17">
        <f t="shared" si="0"/>
        <v>318</v>
      </c>
      <c r="K30" s="17">
        <f t="shared" si="1"/>
        <v>95</v>
      </c>
      <c r="L30" s="17">
        <f t="shared" si="2"/>
        <v>52</v>
      </c>
      <c r="M30" s="17"/>
      <c r="N30" s="17" t="str">
        <f t="shared" si="3"/>
        <v>PASS</v>
      </c>
    </row>
    <row r="31" spans="1:25" x14ac:dyDescent="0.3">
      <c r="A31" s="17">
        <v>30</v>
      </c>
      <c r="B31" s="17" t="s">
        <v>44</v>
      </c>
      <c r="C31" s="17" t="s">
        <v>22</v>
      </c>
      <c r="D31" s="17" t="s">
        <v>39</v>
      </c>
      <c r="E31" s="17">
        <v>44</v>
      </c>
      <c r="F31" s="17">
        <v>60</v>
      </c>
      <c r="G31" s="17">
        <v>97</v>
      </c>
      <c r="H31" s="17">
        <v>43</v>
      </c>
      <c r="I31" s="17" t="s">
        <v>20</v>
      </c>
      <c r="J31" s="17">
        <f t="shared" si="0"/>
        <v>244</v>
      </c>
      <c r="K31" s="17">
        <f t="shared" si="1"/>
        <v>97</v>
      </c>
      <c r="L31" s="17">
        <f t="shared" si="2"/>
        <v>43</v>
      </c>
      <c r="M31" s="17"/>
      <c r="N31" s="17" t="str">
        <f t="shared" si="3"/>
        <v>FAIL</v>
      </c>
    </row>
    <row r="32" spans="1:25" x14ac:dyDescent="0.3">
      <c r="A32" s="17">
        <v>31</v>
      </c>
      <c r="B32" s="17" t="s">
        <v>17</v>
      </c>
      <c r="C32" s="17" t="s">
        <v>28</v>
      </c>
      <c r="D32" s="17" t="s">
        <v>24</v>
      </c>
      <c r="E32" s="17">
        <v>39</v>
      </c>
      <c r="F32" s="17">
        <v>77</v>
      </c>
      <c r="G32" s="17">
        <v>40</v>
      </c>
      <c r="H32" s="17">
        <v>82</v>
      </c>
      <c r="I32" s="17" t="s">
        <v>20</v>
      </c>
      <c r="J32" s="17">
        <f t="shared" si="0"/>
        <v>238</v>
      </c>
      <c r="K32" s="17">
        <f t="shared" si="1"/>
        <v>82</v>
      </c>
      <c r="L32" s="17">
        <f t="shared" si="2"/>
        <v>39</v>
      </c>
      <c r="M32" s="17"/>
      <c r="N32" s="17" t="str">
        <f t="shared" si="3"/>
        <v>FAIL</v>
      </c>
    </row>
    <row r="33" spans="1:14" x14ac:dyDescent="0.3">
      <c r="A33" s="17">
        <v>32</v>
      </c>
      <c r="B33" s="17" t="s">
        <v>17</v>
      </c>
      <c r="C33" s="17" t="s">
        <v>18</v>
      </c>
      <c r="D33" s="17" t="s">
        <v>42</v>
      </c>
      <c r="E33" s="17">
        <v>47</v>
      </c>
      <c r="F33" s="17">
        <v>67</v>
      </c>
      <c r="G33" s="17">
        <v>83</v>
      </c>
      <c r="H33" s="17">
        <v>85</v>
      </c>
      <c r="I33" s="17" t="s">
        <v>12</v>
      </c>
      <c r="J33" s="17">
        <f t="shared" si="0"/>
        <v>282</v>
      </c>
      <c r="K33" s="17">
        <f t="shared" si="1"/>
        <v>85</v>
      </c>
      <c r="L33" s="17">
        <f t="shared" si="2"/>
        <v>47</v>
      </c>
      <c r="M33" s="17"/>
      <c r="N33" s="17" t="str">
        <f t="shared" si="3"/>
        <v>PASS</v>
      </c>
    </row>
    <row r="34" spans="1:14" x14ac:dyDescent="0.3">
      <c r="A34" s="17">
        <v>33</v>
      </c>
      <c r="B34" s="17" t="s">
        <v>34</v>
      </c>
      <c r="C34" s="17" t="s">
        <v>14</v>
      </c>
      <c r="D34" s="17" t="s">
        <v>36</v>
      </c>
      <c r="E34" s="17">
        <v>40</v>
      </c>
      <c r="F34" s="17">
        <v>86</v>
      </c>
      <c r="G34" s="17">
        <v>100</v>
      </c>
      <c r="H34" s="17">
        <v>65</v>
      </c>
      <c r="I34" s="17" t="s">
        <v>12</v>
      </c>
      <c r="J34" s="17">
        <f t="shared" si="0"/>
        <v>291</v>
      </c>
      <c r="K34" s="17">
        <f t="shared" si="1"/>
        <v>100</v>
      </c>
      <c r="L34" s="17">
        <f t="shared" si="2"/>
        <v>40</v>
      </c>
      <c r="M34" s="17"/>
      <c r="N34" s="17" t="str">
        <f t="shared" si="3"/>
        <v>PASS</v>
      </c>
    </row>
    <row r="35" spans="1:14" x14ac:dyDescent="0.3">
      <c r="A35" s="17">
        <v>34</v>
      </c>
      <c r="B35" s="17" t="s">
        <v>40</v>
      </c>
      <c r="C35" s="17" t="s">
        <v>30</v>
      </c>
      <c r="D35" s="17" t="s">
        <v>27</v>
      </c>
      <c r="E35" s="17">
        <v>93</v>
      </c>
      <c r="F35" s="17">
        <v>47</v>
      </c>
      <c r="G35" s="17">
        <v>37</v>
      </c>
      <c r="H35" s="17">
        <v>45</v>
      </c>
      <c r="I35" s="17" t="s">
        <v>20</v>
      </c>
      <c r="J35" s="17">
        <f t="shared" si="0"/>
        <v>222</v>
      </c>
      <c r="K35" s="17">
        <f t="shared" si="1"/>
        <v>93</v>
      </c>
      <c r="L35" s="17">
        <f t="shared" si="2"/>
        <v>37</v>
      </c>
      <c r="M35" s="17"/>
      <c r="N35" s="17" t="str">
        <f t="shared" si="3"/>
        <v>FAIL</v>
      </c>
    </row>
    <row r="36" spans="1:14" x14ac:dyDescent="0.3">
      <c r="A36" s="17">
        <v>35</v>
      </c>
      <c r="B36" s="17" t="s">
        <v>32</v>
      </c>
      <c r="C36" s="17" t="s">
        <v>10</v>
      </c>
      <c r="D36" s="17" t="s">
        <v>45</v>
      </c>
      <c r="E36" s="17">
        <v>98</v>
      </c>
      <c r="F36" s="17">
        <v>95</v>
      </c>
      <c r="G36" s="17">
        <v>89</v>
      </c>
      <c r="H36" s="17">
        <v>82</v>
      </c>
      <c r="I36" s="17" t="s">
        <v>46</v>
      </c>
      <c r="J36" s="17">
        <f t="shared" si="0"/>
        <v>364</v>
      </c>
      <c r="K36" s="17">
        <f t="shared" si="1"/>
        <v>98</v>
      </c>
      <c r="L36" s="17">
        <f t="shared" si="2"/>
        <v>82</v>
      </c>
      <c r="M36" s="17"/>
      <c r="N36" s="17" t="str">
        <f t="shared" si="3"/>
        <v>PASS</v>
      </c>
    </row>
    <row r="37" spans="1:14" x14ac:dyDescent="0.3">
      <c r="A37" s="17">
        <v>36</v>
      </c>
      <c r="B37" s="17" t="s">
        <v>35</v>
      </c>
      <c r="C37" s="17" t="s">
        <v>30</v>
      </c>
      <c r="D37" s="17" t="s">
        <v>39</v>
      </c>
      <c r="E37" s="17">
        <v>64</v>
      </c>
      <c r="F37" s="17">
        <v>35</v>
      </c>
      <c r="G37" s="17">
        <v>86</v>
      </c>
      <c r="H37" s="17">
        <v>56</v>
      </c>
      <c r="I37" s="17" t="s">
        <v>20</v>
      </c>
      <c r="J37" s="17">
        <f t="shared" si="0"/>
        <v>241</v>
      </c>
      <c r="K37" s="17">
        <f t="shared" si="1"/>
        <v>86</v>
      </c>
      <c r="L37" s="17">
        <f t="shared" si="2"/>
        <v>35</v>
      </c>
      <c r="M37" s="17"/>
      <c r="N37" s="17" t="str">
        <f t="shared" si="3"/>
        <v>FAIL</v>
      </c>
    </row>
    <row r="38" spans="1:14" x14ac:dyDescent="0.3">
      <c r="A38" s="17">
        <v>37</v>
      </c>
      <c r="B38" s="17" t="s">
        <v>37</v>
      </c>
      <c r="C38" s="17" t="s">
        <v>10</v>
      </c>
      <c r="D38" s="17" t="s">
        <v>42</v>
      </c>
      <c r="E38" s="17">
        <v>52</v>
      </c>
      <c r="F38" s="17">
        <v>75</v>
      </c>
      <c r="G38" s="17">
        <v>94</v>
      </c>
      <c r="H38" s="17">
        <v>97</v>
      </c>
      <c r="I38" s="17" t="s">
        <v>12</v>
      </c>
      <c r="J38" s="17">
        <f t="shared" si="0"/>
        <v>318</v>
      </c>
      <c r="K38" s="17">
        <f t="shared" si="1"/>
        <v>97</v>
      </c>
      <c r="L38" s="17">
        <f t="shared" si="2"/>
        <v>52</v>
      </c>
      <c r="M38" s="17"/>
      <c r="N38" s="17" t="str">
        <f t="shared" si="3"/>
        <v>PASS</v>
      </c>
    </row>
    <row r="39" spans="1:14" x14ac:dyDescent="0.3">
      <c r="A39" s="17">
        <v>38</v>
      </c>
      <c r="B39" s="17" t="s">
        <v>44</v>
      </c>
      <c r="C39" s="17" t="s">
        <v>30</v>
      </c>
      <c r="D39" s="17" t="s">
        <v>31</v>
      </c>
      <c r="E39" s="17">
        <v>84</v>
      </c>
      <c r="F39" s="17">
        <v>78</v>
      </c>
      <c r="G39" s="17">
        <v>53</v>
      </c>
      <c r="H39" s="17">
        <v>44</v>
      </c>
      <c r="I39" s="17" t="s">
        <v>20</v>
      </c>
      <c r="J39" s="17">
        <f t="shared" si="0"/>
        <v>259</v>
      </c>
      <c r="K39" s="17">
        <f t="shared" si="1"/>
        <v>84</v>
      </c>
      <c r="L39" s="17">
        <f t="shared" si="2"/>
        <v>44</v>
      </c>
      <c r="M39" s="17"/>
      <c r="N39" s="17" t="str">
        <f t="shared" si="3"/>
        <v>PASS</v>
      </c>
    </row>
    <row r="40" spans="1:14" x14ac:dyDescent="0.3">
      <c r="A40" s="17">
        <v>39</v>
      </c>
      <c r="B40" s="17" t="s">
        <v>38</v>
      </c>
      <c r="C40" s="17" t="s">
        <v>18</v>
      </c>
      <c r="D40" s="17" t="s">
        <v>36</v>
      </c>
      <c r="E40" s="17">
        <v>63</v>
      </c>
      <c r="F40" s="17">
        <v>64</v>
      </c>
      <c r="G40" s="17">
        <v>87</v>
      </c>
      <c r="H40" s="17">
        <v>100</v>
      </c>
      <c r="I40" s="17" t="s">
        <v>12</v>
      </c>
      <c r="J40" s="17">
        <f t="shared" si="0"/>
        <v>314</v>
      </c>
      <c r="K40" s="17">
        <f t="shared" si="1"/>
        <v>100</v>
      </c>
      <c r="L40" s="17">
        <f t="shared" si="2"/>
        <v>63</v>
      </c>
      <c r="M40" s="17"/>
      <c r="N40" s="17" t="str">
        <f t="shared" si="3"/>
        <v>PASS</v>
      </c>
    </row>
    <row r="41" spans="1:14" x14ac:dyDescent="0.3">
      <c r="A41" s="17">
        <v>40</v>
      </c>
      <c r="B41" s="17" t="s">
        <v>47</v>
      </c>
      <c r="C41" s="17" t="s">
        <v>28</v>
      </c>
      <c r="D41" s="17" t="s">
        <v>33</v>
      </c>
      <c r="E41" s="17">
        <v>75</v>
      </c>
      <c r="F41" s="17">
        <v>90</v>
      </c>
      <c r="G41" s="17">
        <v>69</v>
      </c>
      <c r="H41" s="17">
        <v>91</v>
      </c>
      <c r="I41" s="17" t="s">
        <v>12</v>
      </c>
      <c r="J41" s="17">
        <f t="shared" si="0"/>
        <v>325</v>
      </c>
      <c r="K41" s="17">
        <f t="shared" si="1"/>
        <v>91</v>
      </c>
      <c r="L41" s="17">
        <f t="shared" si="2"/>
        <v>69</v>
      </c>
      <c r="M41" s="17"/>
      <c r="N41" s="17" t="str">
        <f t="shared" si="3"/>
        <v>PASS</v>
      </c>
    </row>
    <row r="42" spans="1:14" x14ac:dyDescent="0.3">
      <c r="A42" s="17">
        <v>41</v>
      </c>
      <c r="B42" s="17" t="s">
        <v>48</v>
      </c>
      <c r="C42" s="17" t="s">
        <v>22</v>
      </c>
      <c r="D42" s="17" t="s">
        <v>33</v>
      </c>
      <c r="E42" s="17">
        <v>77</v>
      </c>
      <c r="F42" s="17">
        <v>63</v>
      </c>
      <c r="G42" s="17">
        <v>38</v>
      </c>
      <c r="H42" s="17">
        <v>40</v>
      </c>
      <c r="I42" s="17" t="s">
        <v>16</v>
      </c>
      <c r="J42" s="17">
        <f t="shared" si="0"/>
        <v>218</v>
      </c>
      <c r="K42" s="17">
        <f t="shared" si="1"/>
        <v>77</v>
      </c>
      <c r="L42" s="17">
        <f t="shared" si="2"/>
        <v>38</v>
      </c>
      <c r="M42" s="17"/>
      <c r="N42" s="17" t="str">
        <f t="shared" si="3"/>
        <v>FAIL</v>
      </c>
    </row>
    <row r="43" spans="1:14" x14ac:dyDescent="0.3">
      <c r="A43" s="17">
        <v>42</v>
      </c>
      <c r="B43" s="17" t="s">
        <v>43</v>
      </c>
      <c r="C43" s="17" t="s">
        <v>14</v>
      </c>
      <c r="D43" s="17" t="s">
        <v>15</v>
      </c>
      <c r="E43" s="17">
        <v>44</v>
      </c>
      <c r="F43" s="17">
        <v>78</v>
      </c>
      <c r="G43" s="17">
        <v>44</v>
      </c>
      <c r="H43" s="17">
        <v>80</v>
      </c>
      <c r="I43" s="17" t="s">
        <v>20</v>
      </c>
      <c r="J43" s="17">
        <f t="shared" si="0"/>
        <v>246</v>
      </c>
      <c r="K43" s="17">
        <f t="shared" si="1"/>
        <v>80</v>
      </c>
      <c r="L43" s="17">
        <f t="shared" si="2"/>
        <v>44</v>
      </c>
      <c r="M43" s="17"/>
      <c r="N43" s="17" t="str">
        <f t="shared" si="3"/>
        <v>FAIL</v>
      </c>
    </row>
    <row r="44" spans="1:14" x14ac:dyDescent="0.3">
      <c r="A44" s="17">
        <v>43</v>
      </c>
      <c r="B44" s="17" t="s">
        <v>43</v>
      </c>
      <c r="C44" s="17" t="s">
        <v>10</v>
      </c>
      <c r="D44" s="17" t="s">
        <v>49</v>
      </c>
      <c r="E44" s="17">
        <v>94</v>
      </c>
      <c r="F44" s="17">
        <v>38</v>
      </c>
      <c r="G44" s="17">
        <v>69</v>
      </c>
      <c r="H44" s="17">
        <v>78</v>
      </c>
      <c r="I44" s="17" t="s">
        <v>20</v>
      </c>
      <c r="J44" s="17">
        <f t="shared" si="0"/>
        <v>279</v>
      </c>
      <c r="K44" s="17">
        <f t="shared" si="1"/>
        <v>94</v>
      </c>
      <c r="L44" s="17">
        <f t="shared" si="2"/>
        <v>38</v>
      </c>
      <c r="M44" s="17"/>
      <c r="N44" s="17" t="str">
        <f t="shared" si="3"/>
        <v>PASS</v>
      </c>
    </row>
    <row r="45" spans="1:14" x14ac:dyDescent="0.3">
      <c r="A45" s="17">
        <v>44</v>
      </c>
      <c r="B45" s="17" t="s">
        <v>23</v>
      </c>
      <c r="C45" s="17" t="s">
        <v>10</v>
      </c>
      <c r="D45" s="17" t="s">
        <v>50</v>
      </c>
      <c r="E45" s="17">
        <v>36</v>
      </c>
      <c r="F45" s="17">
        <v>51</v>
      </c>
      <c r="G45" s="17">
        <v>40</v>
      </c>
      <c r="H45" s="17">
        <v>76</v>
      </c>
      <c r="I45" s="17" t="s">
        <v>16</v>
      </c>
      <c r="J45" s="17">
        <f t="shared" si="0"/>
        <v>203</v>
      </c>
      <c r="K45" s="17">
        <f t="shared" si="1"/>
        <v>76</v>
      </c>
      <c r="L45" s="17">
        <f t="shared" si="2"/>
        <v>36</v>
      </c>
      <c r="M45" s="17"/>
      <c r="N45" s="17" t="str">
        <f t="shared" si="3"/>
        <v>FAIL</v>
      </c>
    </row>
    <row r="46" spans="1:14" x14ac:dyDescent="0.3">
      <c r="A46" s="17">
        <v>45</v>
      </c>
      <c r="B46" s="17" t="s">
        <v>32</v>
      </c>
      <c r="C46" s="17" t="s">
        <v>22</v>
      </c>
      <c r="D46" s="17" t="s">
        <v>29</v>
      </c>
      <c r="E46" s="17">
        <v>80</v>
      </c>
      <c r="F46" s="17">
        <v>41</v>
      </c>
      <c r="G46" s="17">
        <v>79</v>
      </c>
      <c r="H46" s="17">
        <v>72</v>
      </c>
      <c r="I46" s="17" t="s">
        <v>20</v>
      </c>
      <c r="J46" s="17">
        <f t="shared" si="0"/>
        <v>272</v>
      </c>
      <c r="K46" s="17">
        <f t="shared" si="1"/>
        <v>80</v>
      </c>
      <c r="L46" s="17">
        <f t="shared" si="2"/>
        <v>41</v>
      </c>
      <c r="M46" s="17"/>
      <c r="N46" s="17" t="str">
        <f t="shared" si="3"/>
        <v>PASS</v>
      </c>
    </row>
    <row r="47" spans="1:14" x14ac:dyDescent="0.3">
      <c r="A47" s="17">
        <v>46</v>
      </c>
      <c r="B47" s="17" t="s">
        <v>40</v>
      </c>
      <c r="C47" s="17" t="s">
        <v>30</v>
      </c>
      <c r="D47" s="17" t="s">
        <v>36</v>
      </c>
      <c r="E47" s="17">
        <v>41</v>
      </c>
      <c r="F47" s="17">
        <v>51</v>
      </c>
      <c r="G47" s="17">
        <v>72</v>
      </c>
      <c r="H47" s="17">
        <v>75</v>
      </c>
      <c r="I47" s="17" t="s">
        <v>20</v>
      </c>
      <c r="J47" s="17">
        <f t="shared" si="0"/>
        <v>239</v>
      </c>
      <c r="K47" s="17">
        <f t="shared" si="1"/>
        <v>75</v>
      </c>
      <c r="L47" s="17">
        <f t="shared" si="2"/>
        <v>41</v>
      </c>
      <c r="M47" s="17"/>
      <c r="N47" s="17" t="str">
        <f t="shared" si="3"/>
        <v>FAIL</v>
      </c>
    </row>
    <row r="48" spans="1:14" x14ac:dyDescent="0.3">
      <c r="A48" s="17">
        <v>47</v>
      </c>
      <c r="B48" s="17" t="s">
        <v>32</v>
      </c>
      <c r="C48" s="17" t="s">
        <v>10</v>
      </c>
      <c r="D48" s="17" t="s">
        <v>33</v>
      </c>
      <c r="E48" s="17">
        <v>37</v>
      </c>
      <c r="F48" s="17">
        <v>52</v>
      </c>
      <c r="G48" s="17">
        <v>82</v>
      </c>
      <c r="H48" s="17">
        <v>95</v>
      </c>
      <c r="I48" s="17" t="s">
        <v>20</v>
      </c>
      <c r="J48" s="17">
        <f t="shared" si="0"/>
        <v>266</v>
      </c>
      <c r="K48" s="17">
        <f t="shared" si="1"/>
        <v>95</v>
      </c>
      <c r="L48" s="17">
        <f t="shared" si="2"/>
        <v>37</v>
      </c>
      <c r="M48" s="17"/>
      <c r="N48" s="17" t="str">
        <f t="shared" si="3"/>
        <v>PASS</v>
      </c>
    </row>
    <row r="49" spans="1:14" x14ac:dyDescent="0.3">
      <c r="A49" s="17">
        <v>48</v>
      </c>
      <c r="B49" s="17" t="s">
        <v>34</v>
      </c>
      <c r="C49" s="17" t="s">
        <v>18</v>
      </c>
      <c r="D49" s="17" t="s">
        <v>33</v>
      </c>
      <c r="E49" s="17">
        <v>71</v>
      </c>
      <c r="F49" s="17">
        <v>51</v>
      </c>
      <c r="G49" s="17">
        <v>37</v>
      </c>
      <c r="H49" s="17">
        <v>66</v>
      </c>
      <c r="I49" s="17" t="s">
        <v>20</v>
      </c>
      <c r="J49" s="17">
        <f t="shared" si="0"/>
        <v>225</v>
      </c>
      <c r="K49" s="17">
        <f t="shared" si="1"/>
        <v>71</v>
      </c>
      <c r="L49" s="17">
        <f t="shared" si="2"/>
        <v>37</v>
      </c>
      <c r="M49" s="17"/>
      <c r="N49" s="17" t="str">
        <f t="shared" si="3"/>
        <v>FAIL</v>
      </c>
    </row>
    <row r="50" spans="1:14" x14ac:dyDescent="0.3">
      <c r="A50" s="17">
        <v>49</v>
      </c>
      <c r="B50" s="17" t="s">
        <v>13</v>
      </c>
      <c r="C50" s="17" t="s">
        <v>22</v>
      </c>
      <c r="D50" s="17" t="s">
        <v>24</v>
      </c>
      <c r="E50" s="17">
        <v>57</v>
      </c>
      <c r="F50" s="17">
        <v>80</v>
      </c>
      <c r="G50" s="17">
        <v>56</v>
      </c>
      <c r="H50" s="17">
        <v>78</v>
      </c>
      <c r="I50" s="17" t="s">
        <v>20</v>
      </c>
      <c r="J50" s="17">
        <f t="shared" si="0"/>
        <v>271</v>
      </c>
      <c r="K50" s="17">
        <f t="shared" si="1"/>
        <v>80</v>
      </c>
      <c r="L50" s="17">
        <f t="shared" si="2"/>
        <v>56</v>
      </c>
      <c r="M50" s="17"/>
      <c r="N50" s="17" t="str">
        <f t="shared" si="3"/>
        <v>PASS</v>
      </c>
    </row>
    <row r="51" spans="1:14" x14ac:dyDescent="0.3">
      <c r="A51" s="17">
        <v>50</v>
      </c>
      <c r="B51" s="17" t="s">
        <v>9</v>
      </c>
      <c r="C51" s="17" t="s">
        <v>28</v>
      </c>
      <c r="D51" s="17" t="s">
        <v>49</v>
      </c>
      <c r="E51" s="17">
        <v>90</v>
      </c>
      <c r="F51" s="17">
        <v>67</v>
      </c>
      <c r="G51" s="17">
        <v>68</v>
      </c>
      <c r="H51" s="17">
        <v>51</v>
      </c>
      <c r="I51" s="17" t="s">
        <v>20</v>
      </c>
      <c r="J51" s="17">
        <f t="shared" si="0"/>
        <v>276</v>
      </c>
      <c r="K51" s="17">
        <f t="shared" si="1"/>
        <v>90</v>
      </c>
      <c r="L51" s="17">
        <f t="shared" si="2"/>
        <v>51</v>
      </c>
      <c r="M51" s="17"/>
      <c r="N51" s="17" t="str">
        <f t="shared" si="3"/>
        <v>PASS</v>
      </c>
    </row>
    <row r="52" spans="1:14" x14ac:dyDescent="0.3">
      <c r="A52" s="17">
        <v>51</v>
      </c>
      <c r="B52" s="17" t="s">
        <v>38</v>
      </c>
      <c r="C52" s="17" t="s">
        <v>18</v>
      </c>
      <c r="D52" s="17" t="s">
        <v>24</v>
      </c>
      <c r="E52" s="17">
        <v>85</v>
      </c>
      <c r="F52" s="17">
        <v>51</v>
      </c>
      <c r="G52" s="17">
        <v>42</v>
      </c>
      <c r="H52" s="17">
        <v>92</v>
      </c>
      <c r="I52" s="17" t="s">
        <v>20</v>
      </c>
      <c r="J52" s="17">
        <f t="shared" si="0"/>
        <v>270</v>
      </c>
      <c r="K52" s="17">
        <f t="shared" si="1"/>
        <v>92</v>
      </c>
      <c r="L52" s="17">
        <f t="shared" si="2"/>
        <v>42</v>
      </c>
      <c r="M52" s="17"/>
      <c r="N52" s="17" t="str">
        <f t="shared" si="3"/>
        <v>PASS</v>
      </c>
    </row>
    <row r="53" spans="1:14" x14ac:dyDescent="0.3">
      <c r="A53" s="17">
        <v>52</v>
      </c>
      <c r="B53" s="17" t="s">
        <v>41</v>
      </c>
      <c r="C53" s="17" t="s">
        <v>28</v>
      </c>
      <c r="D53" s="17" t="s">
        <v>36</v>
      </c>
      <c r="E53" s="17">
        <v>83</v>
      </c>
      <c r="F53" s="17">
        <v>46</v>
      </c>
      <c r="G53" s="17">
        <v>63</v>
      </c>
      <c r="H53" s="17">
        <v>44</v>
      </c>
      <c r="I53" s="17" t="s">
        <v>20</v>
      </c>
      <c r="J53" s="17">
        <f t="shared" si="0"/>
        <v>236</v>
      </c>
      <c r="K53" s="17">
        <f t="shared" si="1"/>
        <v>83</v>
      </c>
      <c r="L53" s="17">
        <f t="shared" si="2"/>
        <v>44</v>
      </c>
      <c r="M53" s="17"/>
      <c r="N53" s="17" t="str">
        <f t="shared" si="3"/>
        <v>FAIL</v>
      </c>
    </row>
    <row r="54" spans="1:14" x14ac:dyDescent="0.3">
      <c r="A54" s="17">
        <v>53</v>
      </c>
      <c r="B54" s="17" t="s">
        <v>23</v>
      </c>
      <c r="C54" s="17" t="s">
        <v>14</v>
      </c>
      <c r="D54" s="17" t="s">
        <v>42</v>
      </c>
      <c r="E54" s="17">
        <v>47</v>
      </c>
      <c r="F54" s="17">
        <v>96</v>
      </c>
      <c r="G54" s="17">
        <v>55</v>
      </c>
      <c r="H54" s="17">
        <v>54</v>
      </c>
      <c r="I54" s="17" t="s">
        <v>20</v>
      </c>
      <c r="J54" s="17">
        <f t="shared" si="0"/>
        <v>252</v>
      </c>
      <c r="K54" s="17">
        <f t="shared" si="1"/>
        <v>96</v>
      </c>
      <c r="L54" s="17">
        <f t="shared" si="2"/>
        <v>47</v>
      </c>
      <c r="M54" s="17"/>
      <c r="N54" s="17" t="str">
        <f t="shared" si="3"/>
        <v>PASS</v>
      </c>
    </row>
    <row r="55" spans="1:14" x14ac:dyDescent="0.3">
      <c r="A55" s="17">
        <v>54</v>
      </c>
      <c r="B55" s="17" t="s">
        <v>51</v>
      </c>
      <c r="C55" s="17" t="s">
        <v>28</v>
      </c>
      <c r="D55" s="17" t="s">
        <v>45</v>
      </c>
      <c r="E55" s="17">
        <v>62</v>
      </c>
      <c r="F55" s="17">
        <v>48</v>
      </c>
      <c r="G55" s="17">
        <v>76</v>
      </c>
      <c r="H55" s="17">
        <v>75</v>
      </c>
      <c r="I55" s="17" t="s">
        <v>20</v>
      </c>
      <c r="J55" s="17">
        <f t="shared" si="0"/>
        <v>261</v>
      </c>
      <c r="K55" s="17">
        <f t="shared" si="1"/>
        <v>76</v>
      </c>
      <c r="L55" s="17">
        <f t="shared" si="2"/>
        <v>48</v>
      </c>
      <c r="M55" s="17"/>
      <c r="N55" s="17" t="str">
        <f t="shared" si="3"/>
        <v>PASS</v>
      </c>
    </row>
    <row r="56" spans="1:14" x14ac:dyDescent="0.3">
      <c r="A56" s="17">
        <v>55</v>
      </c>
      <c r="B56" s="17" t="s">
        <v>52</v>
      </c>
      <c r="C56" s="17" t="s">
        <v>30</v>
      </c>
      <c r="D56" s="17" t="s">
        <v>50</v>
      </c>
      <c r="E56" s="17">
        <v>88</v>
      </c>
      <c r="F56" s="17">
        <v>77</v>
      </c>
      <c r="G56" s="17">
        <v>82</v>
      </c>
      <c r="H56" s="17">
        <v>84</v>
      </c>
      <c r="I56" s="17" t="s">
        <v>12</v>
      </c>
      <c r="J56" s="17">
        <f t="shared" si="0"/>
        <v>331</v>
      </c>
      <c r="K56" s="17">
        <f t="shared" si="1"/>
        <v>88</v>
      </c>
      <c r="L56" s="17">
        <f t="shared" si="2"/>
        <v>77</v>
      </c>
      <c r="M56" s="17"/>
      <c r="N56" s="17" t="str">
        <f t="shared" si="3"/>
        <v>PASS</v>
      </c>
    </row>
    <row r="57" spans="1:14" x14ac:dyDescent="0.3">
      <c r="A57" s="17">
        <v>56</v>
      </c>
      <c r="B57" s="17" t="s">
        <v>13</v>
      </c>
      <c r="C57" s="17" t="s">
        <v>30</v>
      </c>
      <c r="D57" s="17" t="s">
        <v>45</v>
      </c>
      <c r="E57" s="17">
        <v>80</v>
      </c>
      <c r="F57" s="17">
        <v>71</v>
      </c>
      <c r="G57" s="17">
        <v>86</v>
      </c>
      <c r="H57" s="17">
        <v>68</v>
      </c>
      <c r="I57" s="17" t="s">
        <v>12</v>
      </c>
      <c r="J57" s="17">
        <f t="shared" si="0"/>
        <v>305</v>
      </c>
      <c r="K57" s="17">
        <f t="shared" si="1"/>
        <v>86</v>
      </c>
      <c r="L57" s="17">
        <f t="shared" si="2"/>
        <v>68</v>
      </c>
      <c r="M57" s="17"/>
      <c r="N57" s="17" t="str">
        <f t="shared" si="3"/>
        <v>PASS</v>
      </c>
    </row>
    <row r="58" spans="1:14" x14ac:dyDescent="0.3">
      <c r="A58" s="17">
        <v>57</v>
      </c>
      <c r="B58" s="17" t="s">
        <v>48</v>
      </c>
      <c r="C58" s="17" t="s">
        <v>10</v>
      </c>
      <c r="D58" s="17" t="s">
        <v>53</v>
      </c>
      <c r="E58" s="17">
        <v>78</v>
      </c>
      <c r="F58" s="17">
        <v>91</v>
      </c>
      <c r="G58" s="17">
        <v>69</v>
      </c>
      <c r="H58" s="17">
        <v>39</v>
      </c>
      <c r="I58" s="17" t="s">
        <v>20</v>
      </c>
      <c r="J58" s="17">
        <f t="shared" si="0"/>
        <v>277</v>
      </c>
      <c r="K58" s="17">
        <f t="shared" si="1"/>
        <v>91</v>
      </c>
      <c r="L58" s="17">
        <f t="shared" si="2"/>
        <v>39</v>
      </c>
      <c r="M58" s="17"/>
      <c r="N58" s="17" t="str">
        <f t="shared" si="3"/>
        <v>PASS</v>
      </c>
    </row>
    <row r="59" spans="1:14" x14ac:dyDescent="0.3">
      <c r="A59" s="17">
        <v>58</v>
      </c>
      <c r="B59" s="17" t="s">
        <v>34</v>
      </c>
      <c r="C59" s="17" t="s">
        <v>28</v>
      </c>
      <c r="D59" s="17" t="s">
        <v>50</v>
      </c>
      <c r="E59" s="17">
        <v>45</v>
      </c>
      <c r="F59" s="17">
        <v>44</v>
      </c>
      <c r="G59" s="17">
        <v>92</v>
      </c>
      <c r="H59" s="17">
        <v>39</v>
      </c>
      <c r="I59" s="17" t="s">
        <v>20</v>
      </c>
      <c r="J59" s="17">
        <f t="shared" si="0"/>
        <v>220</v>
      </c>
      <c r="K59" s="17">
        <f t="shared" si="1"/>
        <v>92</v>
      </c>
      <c r="L59" s="17">
        <f t="shared" si="2"/>
        <v>39</v>
      </c>
      <c r="M59" s="17"/>
      <c r="N59" s="17" t="str">
        <f t="shared" si="3"/>
        <v>FAIL</v>
      </c>
    </row>
    <row r="60" spans="1:14" x14ac:dyDescent="0.3">
      <c r="A60" s="17">
        <v>59</v>
      </c>
      <c r="B60" s="17" t="s">
        <v>47</v>
      </c>
      <c r="C60" s="17" t="s">
        <v>10</v>
      </c>
      <c r="D60" s="17" t="s">
        <v>11</v>
      </c>
      <c r="E60" s="17">
        <v>66</v>
      </c>
      <c r="F60" s="17">
        <v>87</v>
      </c>
      <c r="G60" s="17">
        <v>60</v>
      </c>
      <c r="H60" s="17">
        <v>55</v>
      </c>
      <c r="I60" s="17" t="s">
        <v>20</v>
      </c>
      <c r="J60" s="17">
        <f t="shared" si="0"/>
        <v>268</v>
      </c>
      <c r="K60" s="17">
        <f t="shared" si="1"/>
        <v>87</v>
      </c>
      <c r="L60" s="17">
        <f t="shared" si="2"/>
        <v>55</v>
      </c>
      <c r="M60" s="17"/>
      <c r="N60" s="17" t="str">
        <f t="shared" si="3"/>
        <v>PASS</v>
      </c>
    </row>
    <row r="61" spans="1:14" x14ac:dyDescent="0.3">
      <c r="A61" s="17">
        <v>60</v>
      </c>
      <c r="B61" s="17" t="s">
        <v>54</v>
      </c>
      <c r="C61" s="17" t="s">
        <v>22</v>
      </c>
      <c r="D61" s="17" t="s">
        <v>50</v>
      </c>
      <c r="E61" s="17">
        <v>56</v>
      </c>
      <c r="F61" s="17">
        <v>52</v>
      </c>
      <c r="G61" s="17">
        <v>53</v>
      </c>
      <c r="H61" s="17">
        <v>55</v>
      </c>
      <c r="I61" s="17" t="s">
        <v>16</v>
      </c>
      <c r="J61" s="17">
        <f t="shared" si="0"/>
        <v>216</v>
      </c>
      <c r="K61" s="17">
        <f t="shared" si="1"/>
        <v>56</v>
      </c>
      <c r="L61" s="17">
        <f t="shared" si="2"/>
        <v>52</v>
      </c>
      <c r="M61" s="17"/>
      <c r="N61" s="17" t="str">
        <f t="shared" si="3"/>
        <v>FAIL</v>
      </c>
    </row>
    <row r="62" spans="1:14" x14ac:dyDescent="0.3">
      <c r="A62" s="17">
        <v>61</v>
      </c>
      <c r="B62" s="17" t="s">
        <v>43</v>
      </c>
      <c r="C62" s="17" t="s">
        <v>10</v>
      </c>
      <c r="D62" s="17" t="s">
        <v>49</v>
      </c>
      <c r="E62" s="17">
        <v>48</v>
      </c>
      <c r="F62" s="17">
        <v>52</v>
      </c>
      <c r="G62" s="17">
        <v>91</v>
      </c>
      <c r="H62" s="17">
        <v>38</v>
      </c>
      <c r="I62" s="17" t="s">
        <v>20</v>
      </c>
      <c r="J62" s="17">
        <f t="shared" si="0"/>
        <v>229</v>
      </c>
      <c r="K62" s="17">
        <f t="shared" si="1"/>
        <v>91</v>
      </c>
      <c r="L62" s="17">
        <f t="shared" si="2"/>
        <v>38</v>
      </c>
      <c r="M62" s="17"/>
      <c r="N62" s="17" t="str">
        <f t="shared" si="3"/>
        <v>FAIL</v>
      </c>
    </row>
    <row r="63" spans="1:14" x14ac:dyDescent="0.3">
      <c r="A63" s="17">
        <v>62</v>
      </c>
      <c r="B63" s="17" t="s">
        <v>51</v>
      </c>
      <c r="C63" s="17" t="s">
        <v>10</v>
      </c>
      <c r="D63" s="17" t="s">
        <v>15</v>
      </c>
      <c r="E63" s="17">
        <v>80</v>
      </c>
      <c r="F63" s="17">
        <v>47</v>
      </c>
      <c r="G63" s="17">
        <v>46</v>
      </c>
      <c r="H63" s="17">
        <v>51</v>
      </c>
      <c r="I63" s="17" t="s">
        <v>20</v>
      </c>
      <c r="J63" s="17">
        <f t="shared" si="0"/>
        <v>224</v>
      </c>
      <c r="K63" s="17">
        <f t="shared" si="1"/>
        <v>80</v>
      </c>
      <c r="L63" s="17">
        <f t="shared" si="2"/>
        <v>46</v>
      </c>
      <c r="M63" s="17"/>
      <c r="N63" s="17" t="str">
        <f t="shared" si="3"/>
        <v>FAIL</v>
      </c>
    </row>
    <row r="64" spans="1:14" x14ac:dyDescent="0.3">
      <c r="A64" s="17">
        <v>63</v>
      </c>
      <c r="B64" s="17" t="s">
        <v>34</v>
      </c>
      <c r="C64" s="17" t="s">
        <v>18</v>
      </c>
      <c r="D64" s="17" t="s">
        <v>24</v>
      </c>
      <c r="E64" s="17">
        <v>83</v>
      </c>
      <c r="F64" s="17">
        <v>71</v>
      </c>
      <c r="G64" s="17">
        <v>87</v>
      </c>
      <c r="H64" s="17">
        <v>90</v>
      </c>
      <c r="I64" s="17" t="s">
        <v>12</v>
      </c>
      <c r="J64" s="17">
        <f t="shared" si="0"/>
        <v>331</v>
      </c>
      <c r="K64" s="17">
        <f t="shared" si="1"/>
        <v>90</v>
      </c>
      <c r="L64" s="17">
        <f t="shared" si="2"/>
        <v>71</v>
      </c>
      <c r="M64" s="17"/>
      <c r="N64" s="17" t="str">
        <f t="shared" si="3"/>
        <v>PASS</v>
      </c>
    </row>
    <row r="65" spans="1:14" x14ac:dyDescent="0.3">
      <c r="A65" s="17">
        <v>64</v>
      </c>
      <c r="B65" s="17" t="s">
        <v>48</v>
      </c>
      <c r="C65" s="17" t="s">
        <v>18</v>
      </c>
      <c r="D65" s="17" t="s">
        <v>36</v>
      </c>
      <c r="E65" s="17">
        <v>84</v>
      </c>
      <c r="F65" s="17">
        <v>85</v>
      </c>
      <c r="G65" s="17">
        <v>49</v>
      </c>
      <c r="H65" s="17">
        <v>94</v>
      </c>
      <c r="I65" s="17" t="s">
        <v>12</v>
      </c>
      <c r="J65" s="17">
        <f t="shared" si="0"/>
        <v>312</v>
      </c>
      <c r="K65" s="17">
        <f t="shared" si="1"/>
        <v>94</v>
      </c>
      <c r="L65" s="17">
        <f t="shared" si="2"/>
        <v>49</v>
      </c>
      <c r="M65" s="17"/>
      <c r="N65" s="17" t="str">
        <f t="shared" si="3"/>
        <v>PASS</v>
      </c>
    </row>
    <row r="66" spans="1:14" x14ac:dyDescent="0.3">
      <c r="A66" s="17">
        <v>65</v>
      </c>
      <c r="B66" s="17" t="s">
        <v>40</v>
      </c>
      <c r="C66" s="17" t="s">
        <v>22</v>
      </c>
      <c r="D66" s="17" t="s">
        <v>53</v>
      </c>
      <c r="E66" s="17">
        <v>96</v>
      </c>
      <c r="F66" s="17">
        <v>84</v>
      </c>
      <c r="G66" s="17">
        <v>90</v>
      </c>
      <c r="H66" s="17">
        <v>73</v>
      </c>
      <c r="I66" s="17" t="s">
        <v>46</v>
      </c>
      <c r="J66" s="17">
        <f t="shared" si="0"/>
        <v>343</v>
      </c>
      <c r="K66" s="17">
        <f t="shared" si="1"/>
        <v>96</v>
      </c>
      <c r="L66" s="17">
        <f t="shared" si="2"/>
        <v>73</v>
      </c>
      <c r="M66" s="17"/>
      <c r="N66" s="17" t="str">
        <f t="shared" si="3"/>
        <v>PASS</v>
      </c>
    </row>
    <row r="67" spans="1:14" x14ac:dyDescent="0.3">
      <c r="A67" s="17">
        <v>66</v>
      </c>
      <c r="B67" s="17" t="s">
        <v>34</v>
      </c>
      <c r="C67" s="17" t="s">
        <v>30</v>
      </c>
      <c r="D67" s="17" t="s">
        <v>45</v>
      </c>
      <c r="E67" s="17">
        <v>67</v>
      </c>
      <c r="F67" s="17">
        <v>35</v>
      </c>
      <c r="G67" s="17">
        <v>78</v>
      </c>
      <c r="H67" s="17">
        <v>63</v>
      </c>
      <c r="I67" s="17" t="s">
        <v>20</v>
      </c>
      <c r="J67" s="17">
        <f t="shared" ref="J67:J130" si="7">SUM(E67:H67)</f>
        <v>243</v>
      </c>
      <c r="K67" s="17">
        <f t="shared" ref="K67:K130" si="8">MAX(E67:H67)</f>
        <v>78</v>
      </c>
      <c r="L67" s="17">
        <f t="shared" ref="L67:L130" si="9">MIN(E67:H67)</f>
        <v>35</v>
      </c>
      <c r="M67" s="17"/>
      <c r="N67" s="17" t="str">
        <f t="shared" ref="N67:N130" si="10">IF(J67&gt;250,"PASS","FAIL")</f>
        <v>FAIL</v>
      </c>
    </row>
    <row r="68" spans="1:14" x14ac:dyDescent="0.3">
      <c r="A68" s="17">
        <v>67</v>
      </c>
      <c r="B68" s="17" t="s">
        <v>21</v>
      </c>
      <c r="C68" s="17" t="s">
        <v>30</v>
      </c>
      <c r="D68" s="17" t="s">
        <v>50</v>
      </c>
      <c r="E68" s="17">
        <v>97</v>
      </c>
      <c r="F68" s="17">
        <v>38</v>
      </c>
      <c r="G68" s="17">
        <v>66</v>
      </c>
      <c r="H68" s="17">
        <v>74</v>
      </c>
      <c r="I68" s="17" t="s">
        <v>20</v>
      </c>
      <c r="J68" s="17">
        <f t="shared" si="7"/>
        <v>275</v>
      </c>
      <c r="K68" s="17">
        <f t="shared" si="8"/>
        <v>97</v>
      </c>
      <c r="L68" s="17">
        <f t="shared" si="9"/>
        <v>38</v>
      </c>
      <c r="M68" s="17"/>
      <c r="N68" s="17" t="str">
        <f t="shared" si="10"/>
        <v>PASS</v>
      </c>
    </row>
    <row r="69" spans="1:14" x14ac:dyDescent="0.3">
      <c r="A69" s="17">
        <v>68</v>
      </c>
      <c r="B69" s="17" t="s">
        <v>55</v>
      </c>
      <c r="C69" s="17" t="s">
        <v>18</v>
      </c>
      <c r="D69" s="17" t="s">
        <v>24</v>
      </c>
      <c r="E69" s="17">
        <v>42</v>
      </c>
      <c r="F69" s="17">
        <v>39</v>
      </c>
      <c r="G69" s="17">
        <v>39</v>
      </c>
      <c r="H69" s="17">
        <v>73</v>
      </c>
      <c r="I69" s="17" t="s">
        <v>16</v>
      </c>
      <c r="J69" s="17">
        <f t="shared" si="7"/>
        <v>193</v>
      </c>
      <c r="K69" s="17">
        <f t="shared" si="8"/>
        <v>73</v>
      </c>
      <c r="L69" s="17">
        <f t="shared" si="9"/>
        <v>39</v>
      </c>
      <c r="M69" s="17"/>
      <c r="N69" s="17" t="str">
        <f t="shared" si="10"/>
        <v>FAIL</v>
      </c>
    </row>
    <row r="70" spans="1:14" x14ac:dyDescent="0.3">
      <c r="A70" s="17">
        <v>69</v>
      </c>
      <c r="B70" s="17" t="s">
        <v>51</v>
      </c>
      <c r="C70" s="17" t="s">
        <v>28</v>
      </c>
      <c r="D70" s="17" t="s">
        <v>39</v>
      </c>
      <c r="E70" s="17">
        <v>45</v>
      </c>
      <c r="F70" s="17">
        <v>93</v>
      </c>
      <c r="G70" s="17">
        <v>80</v>
      </c>
      <c r="H70" s="17">
        <v>57</v>
      </c>
      <c r="I70" s="17" t="s">
        <v>20</v>
      </c>
      <c r="J70" s="17">
        <f t="shared" si="7"/>
        <v>275</v>
      </c>
      <c r="K70" s="17">
        <f t="shared" si="8"/>
        <v>93</v>
      </c>
      <c r="L70" s="17">
        <f t="shared" si="9"/>
        <v>45</v>
      </c>
      <c r="M70" s="17"/>
      <c r="N70" s="17" t="str">
        <f t="shared" si="10"/>
        <v>PASS</v>
      </c>
    </row>
    <row r="71" spans="1:14" x14ac:dyDescent="0.3">
      <c r="A71" s="17">
        <v>70</v>
      </c>
      <c r="B71" s="17" t="s">
        <v>56</v>
      </c>
      <c r="C71" s="17" t="s">
        <v>14</v>
      </c>
      <c r="D71" s="17" t="s">
        <v>33</v>
      </c>
      <c r="E71" s="17">
        <v>76</v>
      </c>
      <c r="F71" s="17">
        <v>80</v>
      </c>
      <c r="G71" s="17">
        <v>72</v>
      </c>
      <c r="H71" s="17">
        <v>57</v>
      </c>
      <c r="I71" s="17" t="s">
        <v>12</v>
      </c>
      <c r="J71" s="17">
        <f t="shared" si="7"/>
        <v>285</v>
      </c>
      <c r="K71" s="17">
        <f t="shared" si="8"/>
        <v>80</v>
      </c>
      <c r="L71" s="17">
        <f t="shared" si="9"/>
        <v>57</v>
      </c>
      <c r="M71" s="17"/>
      <c r="N71" s="17" t="str">
        <f t="shared" si="10"/>
        <v>PASS</v>
      </c>
    </row>
    <row r="72" spans="1:14" x14ac:dyDescent="0.3">
      <c r="A72" s="17">
        <v>71</v>
      </c>
      <c r="B72" s="17" t="s">
        <v>51</v>
      </c>
      <c r="C72" s="17" t="s">
        <v>28</v>
      </c>
      <c r="D72" s="17" t="s">
        <v>49</v>
      </c>
      <c r="E72" s="17">
        <v>83</v>
      </c>
      <c r="F72" s="17">
        <v>69</v>
      </c>
      <c r="G72" s="17">
        <v>92</v>
      </c>
      <c r="H72" s="17">
        <v>48</v>
      </c>
      <c r="I72" s="17" t="s">
        <v>12</v>
      </c>
      <c r="J72" s="17">
        <f t="shared" si="7"/>
        <v>292</v>
      </c>
      <c r="K72" s="17">
        <f t="shared" si="8"/>
        <v>92</v>
      </c>
      <c r="L72" s="17">
        <f t="shared" si="9"/>
        <v>48</v>
      </c>
      <c r="M72" s="17"/>
      <c r="N72" s="17" t="str">
        <f t="shared" si="10"/>
        <v>PASS</v>
      </c>
    </row>
    <row r="73" spans="1:14" x14ac:dyDescent="0.3">
      <c r="A73" s="17">
        <v>72</v>
      </c>
      <c r="B73" s="17" t="s">
        <v>26</v>
      </c>
      <c r="C73" s="17" t="s">
        <v>14</v>
      </c>
      <c r="D73" s="17" t="s">
        <v>42</v>
      </c>
      <c r="E73" s="17">
        <v>76</v>
      </c>
      <c r="F73" s="17">
        <v>51</v>
      </c>
      <c r="G73" s="17">
        <v>50</v>
      </c>
      <c r="H73" s="17">
        <v>79</v>
      </c>
      <c r="I73" s="17" t="s">
        <v>20</v>
      </c>
      <c r="J73" s="17">
        <f t="shared" si="7"/>
        <v>256</v>
      </c>
      <c r="K73" s="17">
        <f t="shared" si="8"/>
        <v>79</v>
      </c>
      <c r="L73" s="17">
        <f t="shared" si="9"/>
        <v>50</v>
      </c>
      <c r="M73" s="17"/>
      <c r="N73" s="17" t="str">
        <f t="shared" si="10"/>
        <v>PASS</v>
      </c>
    </row>
    <row r="74" spans="1:14" x14ac:dyDescent="0.3">
      <c r="A74" s="17">
        <v>73</v>
      </c>
      <c r="B74" s="17" t="s">
        <v>38</v>
      </c>
      <c r="C74" s="17" t="s">
        <v>30</v>
      </c>
      <c r="D74" s="17" t="s">
        <v>24</v>
      </c>
      <c r="E74" s="17">
        <v>75</v>
      </c>
      <c r="F74" s="17">
        <v>56</v>
      </c>
      <c r="G74" s="17">
        <v>71</v>
      </c>
      <c r="H74" s="17">
        <v>80</v>
      </c>
      <c r="I74" s="17" t="s">
        <v>12</v>
      </c>
      <c r="J74" s="17">
        <f t="shared" si="7"/>
        <v>282</v>
      </c>
      <c r="K74" s="17">
        <f t="shared" si="8"/>
        <v>80</v>
      </c>
      <c r="L74" s="17">
        <f t="shared" si="9"/>
        <v>56</v>
      </c>
      <c r="M74" s="17"/>
      <c r="N74" s="17" t="str">
        <f t="shared" si="10"/>
        <v>PASS</v>
      </c>
    </row>
    <row r="75" spans="1:14" x14ac:dyDescent="0.3">
      <c r="A75" s="17">
        <v>74</v>
      </c>
      <c r="B75" s="17" t="s">
        <v>55</v>
      </c>
      <c r="C75" s="17" t="s">
        <v>28</v>
      </c>
      <c r="D75" s="17" t="s">
        <v>31</v>
      </c>
      <c r="E75" s="17">
        <v>82</v>
      </c>
      <c r="F75" s="17">
        <v>58</v>
      </c>
      <c r="G75" s="17">
        <v>61</v>
      </c>
      <c r="H75" s="17">
        <v>96</v>
      </c>
      <c r="I75" s="17" t="s">
        <v>12</v>
      </c>
      <c r="J75" s="17">
        <f t="shared" si="7"/>
        <v>297</v>
      </c>
      <c r="K75" s="17">
        <f t="shared" si="8"/>
        <v>96</v>
      </c>
      <c r="L75" s="17">
        <f t="shared" si="9"/>
        <v>58</v>
      </c>
      <c r="M75" s="17"/>
      <c r="N75" s="17" t="str">
        <f t="shared" si="10"/>
        <v>PASS</v>
      </c>
    </row>
    <row r="76" spans="1:14" x14ac:dyDescent="0.3">
      <c r="A76" s="17">
        <v>75</v>
      </c>
      <c r="B76" s="17" t="s">
        <v>55</v>
      </c>
      <c r="C76" s="17" t="s">
        <v>14</v>
      </c>
      <c r="D76" s="17" t="s">
        <v>49</v>
      </c>
      <c r="E76" s="17">
        <v>80</v>
      </c>
      <c r="F76" s="17">
        <v>89</v>
      </c>
      <c r="G76" s="17">
        <v>79</v>
      </c>
      <c r="H76" s="17">
        <v>47</v>
      </c>
      <c r="I76" s="17" t="s">
        <v>12</v>
      </c>
      <c r="J76" s="17">
        <f t="shared" si="7"/>
        <v>295</v>
      </c>
      <c r="K76" s="17">
        <f t="shared" si="8"/>
        <v>89</v>
      </c>
      <c r="L76" s="17">
        <f t="shared" si="9"/>
        <v>47</v>
      </c>
      <c r="M76" s="17"/>
      <c r="N76" s="17" t="str">
        <f t="shared" si="10"/>
        <v>PASS</v>
      </c>
    </row>
    <row r="77" spans="1:14" x14ac:dyDescent="0.3">
      <c r="A77" s="17">
        <v>76</v>
      </c>
      <c r="B77" s="17" t="s">
        <v>47</v>
      </c>
      <c r="C77" s="17" t="s">
        <v>10</v>
      </c>
      <c r="D77" s="17" t="s">
        <v>19</v>
      </c>
      <c r="E77" s="17">
        <v>91</v>
      </c>
      <c r="F77" s="17">
        <v>95</v>
      </c>
      <c r="G77" s="17">
        <v>86</v>
      </c>
      <c r="H77" s="17">
        <v>100</v>
      </c>
      <c r="I77" s="17" t="s">
        <v>46</v>
      </c>
      <c r="J77" s="17">
        <f t="shared" si="7"/>
        <v>372</v>
      </c>
      <c r="K77" s="17">
        <f t="shared" si="8"/>
        <v>100</v>
      </c>
      <c r="L77" s="17">
        <f t="shared" si="9"/>
        <v>86</v>
      </c>
      <c r="M77" s="17"/>
      <c r="N77" s="17" t="str">
        <f t="shared" si="10"/>
        <v>PASS</v>
      </c>
    </row>
    <row r="78" spans="1:14" x14ac:dyDescent="0.3">
      <c r="A78" s="17">
        <v>77</v>
      </c>
      <c r="B78" s="17" t="s">
        <v>56</v>
      </c>
      <c r="C78" s="17" t="s">
        <v>10</v>
      </c>
      <c r="D78" s="17" t="s">
        <v>31</v>
      </c>
      <c r="E78" s="17">
        <v>89</v>
      </c>
      <c r="F78" s="17">
        <v>47</v>
      </c>
      <c r="G78" s="17">
        <v>48</v>
      </c>
      <c r="H78" s="17">
        <v>42</v>
      </c>
      <c r="I78" s="17" t="s">
        <v>20</v>
      </c>
      <c r="J78" s="17">
        <f t="shared" si="7"/>
        <v>226</v>
      </c>
      <c r="K78" s="17">
        <f t="shared" si="8"/>
        <v>89</v>
      </c>
      <c r="L78" s="17">
        <f t="shared" si="9"/>
        <v>42</v>
      </c>
      <c r="M78" s="17"/>
      <c r="N78" s="17" t="str">
        <f t="shared" si="10"/>
        <v>FAIL</v>
      </c>
    </row>
    <row r="79" spans="1:14" x14ac:dyDescent="0.3">
      <c r="A79" s="17">
        <v>78</v>
      </c>
      <c r="B79" s="17" t="s">
        <v>37</v>
      </c>
      <c r="C79" s="17" t="s">
        <v>22</v>
      </c>
      <c r="D79" s="17" t="s">
        <v>53</v>
      </c>
      <c r="E79" s="17">
        <v>72</v>
      </c>
      <c r="F79" s="17">
        <v>81</v>
      </c>
      <c r="G79" s="17">
        <v>88</v>
      </c>
      <c r="H79" s="17">
        <v>79</v>
      </c>
      <c r="I79" s="17" t="s">
        <v>12</v>
      </c>
      <c r="J79" s="17">
        <f t="shared" si="7"/>
        <v>320</v>
      </c>
      <c r="K79" s="17">
        <f t="shared" si="8"/>
        <v>88</v>
      </c>
      <c r="L79" s="17">
        <f t="shared" si="9"/>
        <v>72</v>
      </c>
      <c r="M79" s="17"/>
      <c r="N79" s="17" t="str">
        <f t="shared" si="10"/>
        <v>PASS</v>
      </c>
    </row>
    <row r="80" spans="1:14" x14ac:dyDescent="0.3">
      <c r="A80" s="17">
        <v>79</v>
      </c>
      <c r="B80" s="17" t="s">
        <v>23</v>
      </c>
      <c r="C80" s="17" t="s">
        <v>30</v>
      </c>
      <c r="D80" s="17" t="s">
        <v>27</v>
      </c>
      <c r="E80" s="17">
        <v>52</v>
      </c>
      <c r="F80" s="17">
        <v>49</v>
      </c>
      <c r="G80" s="17">
        <v>57</v>
      </c>
      <c r="H80" s="17">
        <v>74</v>
      </c>
      <c r="I80" s="17" t="s">
        <v>20</v>
      </c>
      <c r="J80" s="17">
        <f t="shared" si="7"/>
        <v>232</v>
      </c>
      <c r="K80" s="17">
        <f t="shared" si="8"/>
        <v>74</v>
      </c>
      <c r="L80" s="17">
        <f t="shared" si="9"/>
        <v>49</v>
      </c>
      <c r="M80" s="17"/>
      <c r="N80" s="17" t="str">
        <f t="shared" si="10"/>
        <v>FAIL</v>
      </c>
    </row>
    <row r="81" spans="1:14" x14ac:dyDescent="0.3">
      <c r="A81" s="17">
        <v>80</v>
      </c>
      <c r="B81" s="17" t="s">
        <v>17</v>
      </c>
      <c r="C81" s="17" t="s">
        <v>28</v>
      </c>
      <c r="D81" s="17" t="s">
        <v>53</v>
      </c>
      <c r="E81" s="17">
        <v>84</v>
      </c>
      <c r="F81" s="17">
        <v>88</v>
      </c>
      <c r="G81" s="17">
        <v>84</v>
      </c>
      <c r="H81" s="17">
        <v>53</v>
      </c>
      <c r="I81" s="17" t="s">
        <v>12</v>
      </c>
      <c r="J81" s="17">
        <f t="shared" si="7"/>
        <v>309</v>
      </c>
      <c r="K81" s="17">
        <f t="shared" si="8"/>
        <v>88</v>
      </c>
      <c r="L81" s="17">
        <f t="shared" si="9"/>
        <v>53</v>
      </c>
      <c r="M81" s="17"/>
      <c r="N81" s="17" t="str">
        <f t="shared" si="10"/>
        <v>PASS</v>
      </c>
    </row>
    <row r="82" spans="1:14" x14ac:dyDescent="0.3">
      <c r="A82" s="17">
        <v>81</v>
      </c>
      <c r="B82" s="17" t="s">
        <v>41</v>
      </c>
      <c r="C82" s="17" t="s">
        <v>28</v>
      </c>
      <c r="D82" s="17" t="s">
        <v>19</v>
      </c>
      <c r="E82" s="17">
        <v>50</v>
      </c>
      <c r="F82" s="17">
        <v>45</v>
      </c>
      <c r="G82" s="17">
        <v>74</v>
      </c>
      <c r="H82" s="17">
        <v>58</v>
      </c>
      <c r="I82" s="17" t="s">
        <v>20</v>
      </c>
      <c r="J82" s="17">
        <f t="shared" si="7"/>
        <v>227</v>
      </c>
      <c r="K82" s="17">
        <f t="shared" si="8"/>
        <v>74</v>
      </c>
      <c r="L82" s="17">
        <f t="shared" si="9"/>
        <v>45</v>
      </c>
      <c r="M82" s="17"/>
      <c r="N82" s="17" t="str">
        <f t="shared" si="10"/>
        <v>FAIL</v>
      </c>
    </row>
    <row r="83" spans="1:14" x14ac:dyDescent="0.3">
      <c r="A83" s="17">
        <v>82</v>
      </c>
      <c r="B83" s="17" t="s">
        <v>56</v>
      </c>
      <c r="C83" s="17" t="s">
        <v>10</v>
      </c>
      <c r="D83" s="17" t="s">
        <v>31</v>
      </c>
      <c r="E83" s="17">
        <v>63</v>
      </c>
      <c r="F83" s="17">
        <v>89</v>
      </c>
      <c r="G83" s="17">
        <v>75</v>
      </c>
      <c r="H83" s="17">
        <v>100</v>
      </c>
      <c r="I83" s="17" t="s">
        <v>12</v>
      </c>
      <c r="J83" s="17">
        <f t="shared" si="7"/>
        <v>327</v>
      </c>
      <c r="K83" s="17">
        <f t="shared" si="8"/>
        <v>100</v>
      </c>
      <c r="L83" s="17">
        <f t="shared" si="9"/>
        <v>63</v>
      </c>
      <c r="M83" s="17"/>
      <c r="N83" s="17" t="str">
        <f t="shared" si="10"/>
        <v>PASS</v>
      </c>
    </row>
    <row r="84" spans="1:14" x14ac:dyDescent="0.3">
      <c r="A84" s="17">
        <v>83</v>
      </c>
      <c r="B84" s="17" t="s">
        <v>17</v>
      </c>
      <c r="C84" s="17" t="s">
        <v>22</v>
      </c>
      <c r="D84" s="17" t="s">
        <v>42</v>
      </c>
      <c r="E84" s="17">
        <v>53</v>
      </c>
      <c r="F84" s="17">
        <v>85</v>
      </c>
      <c r="G84" s="17">
        <v>73</v>
      </c>
      <c r="H84" s="17">
        <v>61</v>
      </c>
      <c r="I84" s="17" t="s">
        <v>20</v>
      </c>
      <c r="J84" s="17">
        <f t="shared" si="7"/>
        <v>272</v>
      </c>
      <c r="K84" s="17">
        <f t="shared" si="8"/>
        <v>85</v>
      </c>
      <c r="L84" s="17">
        <f t="shared" si="9"/>
        <v>53</v>
      </c>
      <c r="M84" s="17"/>
      <c r="N84" s="17" t="str">
        <f t="shared" si="10"/>
        <v>PASS</v>
      </c>
    </row>
    <row r="85" spans="1:14" x14ac:dyDescent="0.3">
      <c r="A85" s="17">
        <v>84</v>
      </c>
      <c r="B85" s="17" t="s">
        <v>43</v>
      </c>
      <c r="C85" s="17" t="s">
        <v>14</v>
      </c>
      <c r="D85" s="17" t="s">
        <v>11</v>
      </c>
      <c r="E85" s="17">
        <v>47</v>
      </c>
      <c r="F85" s="17">
        <v>97</v>
      </c>
      <c r="G85" s="17">
        <v>84</v>
      </c>
      <c r="H85" s="17">
        <v>91</v>
      </c>
      <c r="I85" s="17" t="s">
        <v>12</v>
      </c>
      <c r="J85" s="17">
        <f t="shared" si="7"/>
        <v>319</v>
      </c>
      <c r="K85" s="17">
        <f t="shared" si="8"/>
        <v>97</v>
      </c>
      <c r="L85" s="17">
        <f t="shared" si="9"/>
        <v>47</v>
      </c>
      <c r="M85" s="17"/>
      <c r="N85" s="17" t="str">
        <f t="shared" si="10"/>
        <v>PASS</v>
      </c>
    </row>
    <row r="86" spans="1:14" x14ac:dyDescent="0.3">
      <c r="A86" s="17">
        <v>85</v>
      </c>
      <c r="B86" s="17" t="s">
        <v>34</v>
      </c>
      <c r="C86" s="17" t="s">
        <v>14</v>
      </c>
      <c r="D86" s="17" t="s">
        <v>42</v>
      </c>
      <c r="E86" s="17">
        <v>68</v>
      </c>
      <c r="F86" s="17">
        <v>35</v>
      </c>
      <c r="G86" s="17">
        <v>91</v>
      </c>
      <c r="H86" s="17">
        <v>56</v>
      </c>
      <c r="I86" s="17" t="s">
        <v>20</v>
      </c>
      <c r="J86" s="17">
        <f t="shared" si="7"/>
        <v>250</v>
      </c>
      <c r="K86" s="17">
        <f t="shared" si="8"/>
        <v>91</v>
      </c>
      <c r="L86" s="17">
        <f t="shared" si="9"/>
        <v>35</v>
      </c>
      <c r="M86" s="17"/>
      <c r="N86" s="17" t="str">
        <f t="shared" si="10"/>
        <v>FAIL</v>
      </c>
    </row>
    <row r="87" spans="1:14" x14ac:dyDescent="0.3">
      <c r="A87" s="17">
        <v>86</v>
      </c>
      <c r="B87" s="17" t="s">
        <v>55</v>
      </c>
      <c r="C87" s="17" t="s">
        <v>28</v>
      </c>
      <c r="D87" s="17" t="s">
        <v>36</v>
      </c>
      <c r="E87" s="17">
        <v>82</v>
      </c>
      <c r="F87" s="17">
        <v>69</v>
      </c>
      <c r="G87" s="17">
        <v>90</v>
      </c>
      <c r="H87" s="17">
        <v>95</v>
      </c>
      <c r="I87" s="17" t="s">
        <v>12</v>
      </c>
      <c r="J87" s="17">
        <f t="shared" si="7"/>
        <v>336</v>
      </c>
      <c r="K87" s="17">
        <f t="shared" si="8"/>
        <v>95</v>
      </c>
      <c r="L87" s="17">
        <f t="shared" si="9"/>
        <v>69</v>
      </c>
      <c r="M87" s="17"/>
      <c r="N87" s="17" t="str">
        <f t="shared" si="10"/>
        <v>PASS</v>
      </c>
    </row>
    <row r="88" spans="1:14" x14ac:dyDescent="0.3">
      <c r="A88" s="17">
        <v>87</v>
      </c>
      <c r="B88" s="17" t="s">
        <v>21</v>
      </c>
      <c r="C88" s="17" t="s">
        <v>14</v>
      </c>
      <c r="D88" s="17" t="s">
        <v>49</v>
      </c>
      <c r="E88" s="17">
        <v>36</v>
      </c>
      <c r="F88" s="17">
        <v>57</v>
      </c>
      <c r="G88" s="17">
        <v>84</v>
      </c>
      <c r="H88" s="17">
        <v>67</v>
      </c>
      <c r="I88" s="17" t="s">
        <v>20</v>
      </c>
      <c r="J88" s="17">
        <f t="shared" si="7"/>
        <v>244</v>
      </c>
      <c r="K88" s="17">
        <f t="shared" si="8"/>
        <v>84</v>
      </c>
      <c r="L88" s="17">
        <f t="shared" si="9"/>
        <v>36</v>
      </c>
      <c r="M88" s="17"/>
      <c r="N88" s="17" t="str">
        <f t="shared" si="10"/>
        <v>FAIL</v>
      </c>
    </row>
    <row r="89" spans="1:14" x14ac:dyDescent="0.3">
      <c r="A89" s="17">
        <v>88</v>
      </c>
      <c r="B89" s="17" t="s">
        <v>44</v>
      </c>
      <c r="C89" s="17" t="s">
        <v>30</v>
      </c>
      <c r="D89" s="17" t="s">
        <v>49</v>
      </c>
      <c r="E89" s="17">
        <v>73</v>
      </c>
      <c r="F89" s="17">
        <v>66</v>
      </c>
      <c r="G89" s="17">
        <v>77</v>
      </c>
      <c r="H89" s="17">
        <v>46</v>
      </c>
      <c r="I89" s="17" t="s">
        <v>20</v>
      </c>
      <c r="J89" s="17">
        <f t="shared" si="7"/>
        <v>262</v>
      </c>
      <c r="K89" s="17">
        <f t="shared" si="8"/>
        <v>77</v>
      </c>
      <c r="L89" s="17">
        <f t="shared" si="9"/>
        <v>46</v>
      </c>
      <c r="M89" s="17"/>
      <c r="N89" s="17" t="str">
        <f t="shared" si="10"/>
        <v>PASS</v>
      </c>
    </row>
    <row r="90" spans="1:14" x14ac:dyDescent="0.3">
      <c r="A90" s="17">
        <v>89</v>
      </c>
      <c r="B90" s="17" t="s">
        <v>51</v>
      </c>
      <c r="C90" s="17" t="s">
        <v>30</v>
      </c>
      <c r="D90" s="17" t="s">
        <v>11</v>
      </c>
      <c r="E90" s="17">
        <v>67</v>
      </c>
      <c r="F90" s="17">
        <v>96</v>
      </c>
      <c r="G90" s="17">
        <v>69</v>
      </c>
      <c r="H90" s="17">
        <v>63</v>
      </c>
      <c r="I90" s="17" t="s">
        <v>12</v>
      </c>
      <c r="J90" s="17">
        <f t="shared" si="7"/>
        <v>295</v>
      </c>
      <c r="K90" s="17">
        <f t="shared" si="8"/>
        <v>96</v>
      </c>
      <c r="L90" s="17">
        <f t="shared" si="9"/>
        <v>63</v>
      </c>
      <c r="M90" s="17"/>
      <c r="N90" s="17" t="str">
        <f t="shared" si="10"/>
        <v>PASS</v>
      </c>
    </row>
    <row r="91" spans="1:14" x14ac:dyDescent="0.3">
      <c r="A91" s="17">
        <v>90</v>
      </c>
      <c r="B91" s="17" t="s">
        <v>35</v>
      </c>
      <c r="C91" s="17" t="s">
        <v>10</v>
      </c>
      <c r="D91" s="17" t="s">
        <v>24</v>
      </c>
      <c r="E91" s="17">
        <v>100</v>
      </c>
      <c r="F91" s="17">
        <v>89</v>
      </c>
      <c r="G91" s="17">
        <v>54</v>
      </c>
      <c r="H91" s="17">
        <v>38</v>
      </c>
      <c r="I91" s="17" t="s">
        <v>12</v>
      </c>
      <c r="J91" s="17">
        <f t="shared" si="7"/>
        <v>281</v>
      </c>
      <c r="K91" s="17">
        <f t="shared" si="8"/>
        <v>100</v>
      </c>
      <c r="L91" s="17">
        <f t="shared" si="9"/>
        <v>38</v>
      </c>
      <c r="M91" s="17"/>
      <c r="N91" s="17" t="str">
        <f t="shared" si="10"/>
        <v>PASS</v>
      </c>
    </row>
    <row r="92" spans="1:14" x14ac:dyDescent="0.3">
      <c r="A92" s="17">
        <v>91</v>
      </c>
      <c r="B92" s="17" t="s">
        <v>26</v>
      </c>
      <c r="C92" s="17" t="s">
        <v>18</v>
      </c>
      <c r="D92" s="17" t="s">
        <v>19</v>
      </c>
      <c r="E92" s="17">
        <v>49</v>
      </c>
      <c r="F92" s="17">
        <v>91</v>
      </c>
      <c r="G92" s="17">
        <v>50</v>
      </c>
      <c r="H92" s="17">
        <v>95</v>
      </c>
      <c r="I92" s="17" t="s">
        <v>12</v>
      </c>
      <c r="J92" s="17">
        <f t="shared" si="7"/>
        <v>285</v>
      </c>
      <c r="K92" s="17">
        <f t="shared" si="8"/>
        <v>95</v>
      </c>
      <c r="L92" s="17">
        <f t="shared" si="9"/>
        <v>49</v>
      </c>
      <c r="M92" s="17"/>
      <c r="N92" s="17" t="str">
        <f t="shared" si="10"/>
        <v>PASS</v>
      </c>
    </row>
    <row r="93" spans="1:14" x14ac:dyDescent="0.3">
      <c r="A93" s="17">
        <v>92</v>
      </c>
      <c r="B93" s="17" t="s">
        <v>57</v>
      </c>
      <c r="C93" s="17" t="s">
        <v>10</v>
      </c>
      <c r="D93" s="17" t="s">
        <v>53</v>
      </c>
      <c r="E93" s="17">
        <v>58</v>
      </c>
      <c r="F93" s="17">
        <v>39</v>
      </c>
      <c r="G93" s="17">
        <v>97</v>
      </c>
      <c r="H93" s="17">
        <v>98</v>
      </c>
      <c r="I93" s="17" t="s">
        <v>12</v>
      </c>
      <c r="J93" s="17">
        <f t="shared" si="7"/>
        <v>292</v>
      </c>
      <c r="K93" s="17">
        <f t="shared" si="8"/>
        <v>98</v>
      </c>
      <c r="L93" s="17">
        <f t="shared" si="9"/>
        <v>39</v>
      </c>
      <c r="M93" s="17"/>
      <c r="N93" s="17" t="str">
        <f t="shared" si="10"/>
        <v>PASS</v>
      </c>
    </row>
    <row r="94" spans="1:14" x14ac:dyDescent="0.3">
      <c r="A94" s="17">
        <v>93</v>
      </c>
      <c r="B94" s="17" t="s">
        <v>55</v>
      </c>
      <c r="C94" s="17" t="s">
        <v>28</v>
      </c>
      <c r="D94" s="17" t="s">
        <v>49</v>
      </c>
      <c r="E94" s="17">
        <v>98</v>
      </c>
      <c r="F94" s="17">
        <v>62</v>
      </c>
      <c r="G94" s="17">
        <v>88</v>
      </c>
      <c r="H94" s="17">
        <v>66</v>
      </c>
      <c r="I94" s="17" t="s">
        <v>12</v>
      </c>
      <c r="J94" s="17">
        <f t="shared" si="7"/>
        <v>314</v>
      </c>
      <c r="K94" s="17">
        <f t="shared" si="8"/>
        <v>98</v>
      </c>
      <c r="L94" s="17">
        <f t="shared" si="9"/>
        <v>62</v>
      </c>
      <c r="M94" s="17"/>
      <c r="N94" s="17" t="str">
        <f t="shared" si="10"/>
        <v>PASS</v>
      </c>
    </row>
    <row r="95" spans="1:14" x14ac:dyDescent="0.3">
      <c r="A95" s="17">
        <v>94</v>
      </c>
      <c r="B95" s="17" t="s">
        <v>56</v>
      </c>
      <c r="C95" s="17" t="s">
        <v>14</v>
      </c>
      <c r="D95" s="17" t="s">
        <v>31</v>
      </c>
      <c r="E95" s="17">
        <v>67</v>
      </c>
      <c r="F95" s="17">
        <v>66</v>
      </c>
      <c r="G95" s="17">
        <v>78</v>
      </c>
      <c r="H95" s="17">
        <v>79</v>
      </c>
      <c r="I95" s="17" t="s">
        <v>12</v>
      </c>
      <c r="J95" s="17">
        <f t="shared" si="7"/>
        <v>290</v>
      </c>
      <c r="K95" s="17">
        <f t="shared" si="8"/>
        <v>79</v>
      </c>
      <c r="L95" s="17">
        <f t="shared" si="9"/>
        <v>66</v>
      </c>
      <c r="M95" s="17"/>
      <c r="N95" s="17" t="str">
        <f t="shared" si="10"/>
        <v>PASS</v>
      </c>
    </row>
    <row r="96" spans="1:14" x14ac:dyDescent="0.3">
      <c r="A96" s="17">
        <v>95</v>
      </c>
      <c r="B96" s="17" t="s">
        <v>34</v>
      </c>
      <c r="C96" s="17" t="s">
        <v>28</v>
      </c>
      <c r="D96" s="17" t="s">
        <v>39</v>
      </c>
      <c r="E96" s="17">
        <v>65</v>
      </c>
      <c r="F96" s="17">
        <v>68</v>
      </c>
      <c r="G96" s="17">
        <v>91</v>
      </c>
      <c r="H96" s="17">
        <v>76</v>
      </c>
      <c r="I96" s="17" t="s">
        <v>12</v>
      </c>
      <c r="J96" s="17">
        <f t="shared" si="7"/>
        <v>300</v>
      </c>
      <c r="K96" s="17">
        <f t="shared" si="8"/>
        <v>91</v>
      </c>
      <c r="L96" s="17">
        <f t="shared" si="9"/>
        <v>65</v>
      </c>
      <c r="M96" s="17"/>
      <c r="N96" s="17" t="str">
        <f t="shared" si="10"/>
        <v>PASS</v>
      </c>
    </row>
    <row r="97" spans="1:14" x14ac:dyDescent="0.3">
      <c r="A97" s="17">
        <v>96</v>
      </c>
      <c r="B97" s="17" t="s">
        <v>9</v>
      </c>
      <c r="C97" s="17" t="s">
        <v>10</v>
      </c>
      <c r="D97" s="17" t="s">
        <v>11</v>
      </c>
      <c r="E97" s="17">
        <v>82</v>
      </c>
      <c r="F97" s="17">
        <v>81</v>
      </c>
      <c r="G97" s="17">
        <v>52</v>
      </c>
      <c r="H97" s="17">
        <v>40</v>
      </c>
      <c r="I97" s="17" t="s">
        <v>20</v>
      </c>
      <c r="J97" s="17">
        <f t="shared" si="7"/>
        <v>255</v>
      </c>
      <c r="K97" s="17">
        <f t="shared" si="8"/>
        <v>82</v>
      </c>
      <c r="L97" s="17">
        <f t="shared" si="9"/>
        <v>40</v>
      </c>
      <c r="M97" s="17"/>
      <c r="N97" s="17" t="str">
        <f t="shared" si="10"/>
        <v>PASS</v>
      </c>
    </row>
    <row r="98" spans="1:14" x14ac:dyDescent="0.3">
      <c r="A98" s="17">
        <v>97</v>
      </c>
      <c r="B98" s="17" t="s">
        <v>48</v>
      </c>
      <c r="C98" s="17" t="s">
        <v>22</v>
      </c>
      <c r="D98" s="17" t="s">
        <v>27</v>
      </c>
      <c r="E98" s="17">
        <v>40</v>
      </c>
      <c r="F98" s="17">
        <v>99</v>
      </c>
      <c r="G98" s="17">
        <v>74</v>
      </c>
      <c r="H98" s="17">
        <v>58</v>
      </c>
      <c r="I98" s="17" t="s">
        <v>20</v>
      </c>
      <c r="J98" s="17">
        <f t="shared" si="7"/>
        <v>271</v>
      </c>
      <c r="K98" s="17">
        <f t="shared" si="8"/>
        <v>99</v>
      </c>
      <c r="L98" s="17">
        <f t="shared" si="9"/>
        <v>40</v>
      </c>
      <c r="M98" s="17"/>
      <c r="N98" s="17" t="str">
        <f t="shared" si="10"/>
        <v>PASS</v>
      </c>
    </row>
    <row r="99" spans="1:14" x14ac:dyDescent="0.3">
      <c r="A99" s="17">
        <v>98</v>
      </c>
      <c r="B99" s="17" t="s">
        <v>25</v>
      </c>
      <c r="C99" s="17" t="s">
        <v>22</v>
      </c>
      <c r="D99" s="17" t="s">
        <v>53</v>
      </c>
      <c r="E99" s="17">
        <v>63</v>
      </c>
      <c r="F99" s="17">
        <v>36</v>
      </c>
      <c r="G99" s="17">
        <v>63</v>
      </c>
      <c r="H99" s="17">
        <v>89</v>
      </c>
      <c r="I99" s="17" t="s">
        <v>20</v>
      </c>
      <c r="J99" s="17">
        <f t="shared" si="7"/>
        <v>251</v>
      </c>
      <c r="K99" s="17">
        <f t="shared" si="8"/>
        <v>89</v>
      </c>
      <c r="L99" s="17">
        <f t="shared" si="9"/>
        <v>36</v>
      </c>
      <c r="M99" s="17"/>
      <c r="N99" s="17" t="str">
        <f t="shared" si="10"/>
        <v>PASS</v>
      </c>
    </row>
    <row r="100" spans="1:14" x14ac:dyDescent="0.3">
      <c r="A100" s="17">
        <v>99</v>
      </c>
      <c r="B100" s="17" t="s">
        <v>57</v>
      </c>
      <c r="C100" s="17" t="s">
        <v>30</v>
      </c>
      <c r="D100" s="17" t="s">
        <v>49</v>
      </c>
      <c r="E100" s="17">
        <v>48</v>
      </c>
      <c r="F100" s="17">
        <v>80</v>
      </c>
      <c r="G100" s="17">
        <v>40</v>
      </c>
      <c r="H100" s="17">
        <v>99</v>
      </c>
      <c r="I100" s="17" t="s">
        <v>20</v>
      </c>
      <c r="J100" s="17">
        <f t="shared" si="7"/>
        <v>267</v>
      </c>
      <c r="K100" s="17">
        <f t="shared" si="8"/>
        <v>99</v>
      </c>
      <c r="L100" s="17">
        <f t="shared" si="9"/>
        <v>40</v>
      </c>
      <c r="M100" s="17"/>
      <c r="N100" s="17" t="str">
        <f t="shared" si="10"/>
        <v>PASS</v>
      </c>
    </row>
    <row r="101" spans="1:14" x14ac:dyDescent="0.3">
      <c r="A101" s="17">
        <v>100</v>
      </c>
      <c r="B101" s="17" t="s">
        <v>55</v>
      </c>
      <c r="C101" s="17" t="s">
        <v>22</v>
      </c>
      <c r="D101" s="17" t="s">
        <v>24</v>
      </c>
      <c r="E101" s="17">
        <v>81</v>
      </c>
      <c r="F101" s="17">
        <v>96</v>
      </c>
      <c r="G101" s="17">
        <v>82</v>
      </c>
      <c r="H101" s="17">
        <v>64</v>
      </c>
      <c r="I101" s="17" t="s">
        <v>12</v>
      </c>
      <c r="J101" s="17">
        <f t="shared" si="7"/>
        <v>323</v>
      </c>
      <c r="K101" s="17">
        <f t="shared" si="8"/>
        <v>96</v>
      </c>
      <c r="L101" s="17">
        <f t="shared" si="9"/>
        <v>64</v>
      </c>
      <c r="M101" s="17"/>
      <c r="N101" s="17" t="str">
        <f t="shared" si="10"/>
        <v>PASS</v>
      </c>
    </row>
    <row r="102" spans="1:14" x14ac:dyDescent="0.3">
      <c r="A102" s="17">
        <v>101</v>
      </c>
      <c r="B102" s="17" t="s">
        <v>25</v>
      </c>
      <c r="C102" s="17" t="s">
        <v>10</v>
      </c>
      <c r="D102" s="17" t="s">
        <v>15</v>
      </c>
      <c r="E102" s="17">
        <v>36</v>
      </c>
      <c r="F102" s="17">
        <v>35</v>
      </c>
      <c r="G102" s="17">
        <v>81</v>
      </c>
      <c r="H102" s="17">
        <v>57</v>
      </c>
      <c r="I102" s="17" t="s">
        <v>16</v>
      </c>
      <c r="J102" s="17">
        <f t="shared" si="7"/>
        <v>209</v>
      </c>
      <c r="K102" s="17">
        <f t="shared" si="8"/>
        <v>81</v>
      </c>
      <c r="L102" s="17">
        <f t="shared" si="9"/>
        <v>35</v>
      </c>
      <c r="M102" s="17"/>
      <c r="N102" s="17" t="str">
        <f t="shared" si="10"/>
        <v>FAIL</v>
      </c>
    </row>
    <row r="103" spans="1:14" x14ac:dyDescent="0.3">
      <c r="A103" s="17">
        <v>102</v>
      </c>
      <c r="B103" s="17" t="s">
        <v>35</v>
      </c>
      <c r="C103" s="17" t="s">
        <v>22</v>
      </c>
      <c r="D103" s="17" t="s">
        <v>27</v>
      </c>
      <c r="E103" s="17">
        <v>81</v>
      </c>
      <c r="F103" s="17">
        <v>86</v>
      </c>
      <c r="G103" s="17">
        <v>57</v>
      </c>
      <c r="H103" s="17">
        <v>82</v>
      </c>
      <c r="I103" s="17" t="s">
        <v>12</v>
      </c>
      <c r="J103" s="17">
        <f t="shared" si="7"/>
        <v>306</v>
      </c>
      <c r="K103" s="17">
        <f t="shared" si="8"/>
        <v>86</v>
      </c>
      <c r="L103" s="17">
        <f t="shared" si="9"/>
        <v>57</v>
      </c>
      <c r="M103" s="17"/>
      <c r="N103" s="17" t="str">
        <f t="shared" si="10"/>
        <v>PASS</v>
      </c>
    </row>
    <row r="104" spans="1:14" x14ac:dyDescent="0.3">
      <c r="A104" s="17">
        <v>103</v>
      </c>
      <c r="B104" s="17" t="s">
        <v>9</v>
      </c>
      <c r="C104" s="17" t="s">
        <v>18</v>
      </c>
      <c r="D104" s="17" t="s">
        <v>39</v>
      </c>
      <c r="E104" s="17">
        <v>42</v>
      </c>
      <c r="F104" s="17">
        <v>86</v>
      </c>
      <c r="G104" s="17">
        <v>48</v>
      </c>
      <c r="H104" s="17">
        <v>50</v>
      </c>
      <c r="I104" s="17" t="s">
        <v>20</v>
      </c>
      <c r="J104" s="17">
        <f t="shared" si="7"/>
        <v>226</v>
      </c>
      <c r="K104" s="17">
        <f t="shared" si="8"/>
        <v>86</v>
      </c>
      <c r="L104" s="17">
        <f t="shared" si="9"/>
        <v>42</v>
      </c>
      <c r="M104" s="17"/>
      <c r="N104" s="17" t="str">
        <f t="shared" si="10"/>
        <v>FAIL</v>
      </c>
    </row>
    <row r="105" spans="1:14" x14ac:dyDescent="0.3">
      <c r="A105" s="17">
        <v>104</v>
      </c>
      <c r="B105" s="17" t="s">
        <v>17</v>
      </c>
      <c r="C105" s="17" t="s">
        <v>30</v>
      </c>
      <c r="D105" s="17" t="s">
        <v>29</v>
      </c>
      <c r="E105" s="17">
        <v>66</v>
      </c>
      <c r="F105" s="17">
        <v>68</v>
      </c>
      <c r="G105" s="17">
        <v>54</v>
      </c>
      <c r="H105" s="17">
        <v>85</v>
      </c>
      <c r="I105" s="17" t="s">
        <v>20</v>
      </c>
      <c r="J105" s="17">
        <f t="shared" si="7"/>
        <v>273</v>
      </c>
      <c r="K105" s="17">
        <f t="shared" si="8"/>
        <v>85</v>
      </c>
      <c r="L105" s="17">
        <f t="shared" si="9"/>
        <v>54</v>
      </c>
      <c r="M105" s="17"/>
      <c r="N105" s="17" t="str">
        <f t="shared" si="10"/>
        <v>PASS</v>
      </c>
    </row>
    <row r="106" spans="1:14" x14ac:dyDescent="0.3">
      <c r="A106" s="17">
        <v>105</v>
      </c>
      <c r="B106" s="17" t="s">
        <v>47</v>
      </c>
      <c r="C106" s="17" t="s">
        <v>18</v>
      </c>
      <c r="D106" s="17" t="s">
        <v>27</v>
      </c>
      <c r="E106" s="17">
        <v>58</v>
      </c>
      <c r="F106" s="17">
        <v>64</v>
      </c>
      <c r="G106" s="17">
        <v>56</v>
      </c>
      <c r="H106" s="17">
        <v>81</v>
      </c>
      <c r="I106" s="17" t="s">
        <v>20</v>
      </c>
      <c r="J106" s="17">
        <f t="shared" si="7"/>
        <v>259</v>
      </c>
      <c r="K106" s="17">
        <f t="shared" si="8"/>
        <v>81</v>
      </c>
      <c r="L106" s="17">
        <f t="shared" si="9"/>
        <v>56</v>
      </c>
      <c r="M106" s="17"/>
      <c r="N106" s="17" t="str">
        <f t="shared" si="10"/>
        <v>PASS</v>
      </c>
    </row>
    <row r="107" spans="1:14" x14ac:dyDescent="0.3">
      <c r="A107" s="17">
        <v>106</v>
      </c>
      <c r="B107" s="17" t="s">
        <v>38</v>
      </c>
      <c r="C107" s="17" t="s">
        <v>18</v>
      </c>
      <c r="D107" s="17" t="s">
        <v>27</v>
      </c>
      <c r="E107" s="17">
        <v>90</v>
      </c>
      <c r="F107" s="17">
        <v>77</v>
      </c>
      <c r="G107" s="17">
        <v>38</v>
      </c>
      <c r="H107" s="17">
        <v>77</v>
      </c>
      <c r="I107" s="17" t="s">
        <v>12</v>
      </c>
      <c r="J107" s="17">
        <f t="shared" si="7"/>
        <v>282</v>
      </c>
      <c r="K107" s="17">
        <f t="shared" si="8"/>
        <v>90</v>
      </c>
      <c r="L107" s="17">
        <f t="shared" si="9"/>
        <v>38</v>
      </c>
      <c r="M107" s="17"/>
      <c r="N107" s="17" t="str">
        <f t="shared" si="10"/>
        <v>PASS</v>
      </c>
    </row>
    <row r="108" spans="1:14" x14ac:dyDescent="0.3">
      <c r="A108" s="17">
        <v>107</v>
      </c>
      <c r="B108" s="17" t="s">
        <v>21</v>
      </c>
      <c r="C108" s="17" t="s">
        <v>18</v>
      </c>
      <c r="D108" s="17" t="s">
        <v>29</v>
      </c>
      <c r="E108" s="17">
        <v>96</v>
      </c>
      <c r="F108" s="17">
        <v>61</v>
      </c>
      <c r="G108" s="17">
        <v>79</v>
      </c>
      <c r="H108" s="17">
        <v>77</v>
      </c>
      <c r="I108" s="17" t="s">
        <v>12</v>
      </c>
      <c r="J108" s="17">
        <f t="shared" si="7"/>
        <v>313</v>
      </c>
      <c r="K108" s="17">
        <f t="shared" si="8"/>
        <v>96</v>
      </c>
      <c r="L108" s="17">
        <f t="shared" si="9"/>
        <v>61</v>
      </c>
      <c r="M108" s="17"/>
      <c r="N108" s="17" t="str">
        <f t="shared" si="10"/>
        <v>PASS</v>
      </c>
    </row>
    <row r="109" spans="1:14" x14ac:dyDescent="0.3">
      <c r="A109" s="17">
        <v>108</v>
      </c>
      <c r="B109" s="17" t="s">
        <v>51</v>
      </c>
      <c r="C109" s="17" t="s">
        <v>18</v>
      </c>
      <c r="D109" s="17" t="s">
        <v>49</v>
      </c>
      <c r="E109" s="17">
        <v>53</v>
      </c>
      <c r="F109" s="17">
        <v>52</v>
      </c>
      <c r="G109" s="17">
        <v>70</v>
      </c>
      <c r="H109" s="17">
        <v>43</v>
      </c>
      <c r="I109" s="17" t="s">
        <v>16</v>
      </c>
      <c r="J109" s="17">
        <f t="shared" si="7"/>
        <v>218</v>
      </c>
      <c r="K109" s="17">
        <f t="shared" si="8"/>
        <v>70</v>
      </c>
      <c r="L109" s="17">
        <f t="shared" si="9"/>
        <v>43</v>
      </c>
      <c r="M109" s="17"/>
      <c r="N109" s="17" t="str">
        <f t="shared" si="10"/>
        <v>FAIL</v>
      </c>
    </row>
    <row r="110" spans="1:14" x14ac:dyDescent="0.3">
      <c r="A110" s="17">
        <v>109</v>
      </c>
      <c r="B110" s="17" t="s">
        <v>51</v>
      </c>
      <c r="C110" s="17" t="s">
        <v>14</v>
      </c>
      <c r="D110" s="17" t="s">
        <v>36</v>
      </c>
      <c r="E110" s="17">
        <v>67</v>
      </c>
      <c r="F110" s="17">
        <v>61</v>
      </c>
      <c r="G110" s="17">
        <v>49</v>
      </c>
      <c r="H110" s="17">
        <v>56</v>
      </c>
      <c r="I110" s="17" t="s">
        <v>20</v>
      </c>
      <c r="J110" s="17">
        <f t="shared" si="7"/>
        <v>233</v>
      </c>
      <c r="K110" s="17">
        <f t="shared" si="8"/>
        <v>67</v>
      </c>
      <c r="L110" s="17">
        <f t="shared" si="9"/>
        <v>49</v>
      </c>
      <c r="M110" s="17"/>
      <c r="N110" s="17" t="str">
        <f t="shared" si="10"/>
        <v>FAIL</v>
      </c>
    </row>
    <row r="111" spans="1:14" x14ac:dyDescent="0.3">
      <c r="A111" s="17">
        <v>110</v>
      </c>
      <c r="B111" s="17" t="s">
        <v>58</v>
      </c>
      <c r="C111" s="17" t="s">
        <v>30</v>
      </c>
      <c r="D111" s="17" t="s">
        <v>31</v>
      </c>
      <c r="E111" s="17">
        <v>65</v>
      </c>
      <c r="F111" s="17">
        <v>66</v>
      </c>
      <c r="G111" s="17">
        <v>43</v>
      </c>
      <c r="H111" s="17">
        <v>61</v>
      </c>
      <c r="I111" s="17" t="s">
        <v>20</v>
      </c>
      <c r="J111" s="17">
        <f t="shared" si="7"/>
        <v>235</v>
      </c>
      <c r="K111" s="17">
        <f t="shared" si="8"/>
        <v>66</v>
      </c>
      <c r="L111" s="17">
        <f t="shared" si="9"/>
        <v>43</v>
      </c>
      <c r="M111" s="17"/>
      <c r="N111" s="17" t="str">
        <f t="shared" si="10"/>
        <v>FAIL</v>
      </c>
    </row>
    <row r="112" spans="1:14" x14ac:dyDescent="0.3">
      <c r="A112" s="17">
        <v>111</v>
      </c>
      <c r="B112" s="17" t="s">
        <v>47</v>
      </c>
      <c r="C112" s="17" t="s">
        <v>18</v>
      </c>
      <c r="D112" s="17" t="s">
        <v>36</v>
      </c>
      <c r="E112" s="17">
        <v>93</v>
      </c>
      <c r="F112" s="17">
        <v>77</v>
      </c>
      <c r="G112" s="17">
        <v>87</v>
      </c>
      <c r="H112" s="17">
        <v>69</v>
      </c>
      <c r="I112" s="17" t="s">
        <v>12</v>
      </c>
      <c r="J112" s="17">
        <f t="shared" si="7"/>
        <v>326</v>
      </c>
      <c r="K112" s="17">
        <f t="shared" si="8"/>
        <v>93</v>
      </c>
      <c r="L112" s="17">
        <f t="shared" si="9"/>
        <v>69</v>
      </c>
      <c r="M112" s="17"/>
      <c r="N112" s="17" t="str">
        <f t="shared" si="10"/>
        <v>PASS</v>
      </c>
    </row>
    <row r="113" spans="1:14" x14ac:dyDescent="0.3">
      <c r="A113" s="17">
        <v>112</v>
      </c>
      <c r="B113" s="17" t="s">
        <v>41</v>
      </c>
      <c r="C113" s="17" t="s">
        <v>10</v>
      </c>
      <c r="D113" s="17" t="s">
        <v>39</v>
      </c>
      <c r="E113" s="17">
        <v>96</v>
      </c>
      <c r="F113" s="17">
        <v>72</v>
      </c>
      <c r="G113" s="17">
        <v>71</v>
      </c>
      <c r="H113" s="17">
        <v>93</v>
      </c>
      <c r="I113" s="17" t="s">
        <v>12</v>
      </c>
      <c r="J113" s="17">
        <f t="shared" si="7"/>
        <v>332</v>
      </c>
      <c r="K113" s="17">
        <f t="shared" si="8"/>
        <v>96</v>
      </c>
      <c r="L113" s="17">
        <f t="shared" si="9"/>
        <v>71</v>
      </c>
      <c r="M113" s="17"/>
      <c r="N113" s="17" t="str">
        <f t="shared" si="10"/>
        <v>PASS</v>
      </c>
    </row>
    <row r="114" spans="1:14" x14ac:dyDescent="0.3">
      <c r="A114" s="17">
        <v>113</v>
      </c>
      <c r="B114" s="17" t="s">
        <v>41</v>
      </c>
      <c r="C114" s="17" t="s">
        <v>28</v>
      </c>
      <c r="D114" s="17" t="s">
        <v>15</v>
      </c>
      <c r="E114" s="17">
        <v>70</v>
      </c>
      <c r="F114" s="17">
        <v>39</v>
      </c>
      <c r="G114" s="17">
        <v>62</v>
      </c>
      <c r="H114" s="17">
        <v>74</v>
      </c>
      <c r="I114" s="17" t="s">
        <v>20</v>
      </c>
      <c r="J114" s="17">
        <f t="shared" si="7"/>
        <v>245</v>
      </c>
      <c r="K114" s="17">
        <f t="shared" si="8"/>
        <v>74</v>
      </c>
      <c r="L114" s="17">
        <f t="shared" si="9"/>
        <v>39</v>
      </c>
      <c r="M114" s="17"/>
      <c r="N114" s="17" t="str">
        <f t="shared" si="10"/>
        <v>FAIL</v>
      </c>
    </row>
    <row r="115" spans="1:14" x14ac:dyDescent="0.3">
      <c r="A115" s="17">
        <v>114</v>
      </c>
      <c r="B115" s="17" t="s">
        <v>43</v>
      </c>
      <c r="C115" s="17" t="s">
        <v>10</v>
      </c>
      <c r="D115" s="17" t="s">
        <v>33</v>
      </c>
      <c r="E115" s="17">
        <v>35</v>
      </c>
      <c r="F115" s="17">
        <v>99</v>
      </c>
      <c r="G115" s="17">
        <v>96</v>
      </c>
      <c r="H115" s="17">
        <v>63</v>
      </c>
      <c r="I115" s="17" t="s">
        <v>12</v>
      </c>
      <c r="J115" s="17">
        <f t="shared" si="7"/>
        <v>293</v>
      </c>
      <c r="K115" s="17">
        <f t="shared" si="8"/>
        <v>99</v>
      </c>
      <c r="L115" s="17">
        <f t="shared" si="9"/>
        <v>35</v>
      </c>
      <c r="M115" s="17"/>
      <c r="N115" s="17" t="str">
        <f t="shared" si="10"/>
        <v>PASS</v>
      </c>
    </row>
    <row r="116" spans="1:14" x14ac:dyDescent="0.3">
      <c r="A116" s="17">
        <v>115</v>
      </c>
      <c r="B116" s="17" t="s">
        <v>26</v>
      </c>
      <c r="C116" s="17" t="s">
        <v>18</v>
      </c>
      <c r="D116" s="17" t="s">
        <v>19</v>
      </c>
      <c r="E116" s="17">
        <v>74</v>
      </c>
      <c r="F116" s="17">
        <v>72</v>
      </c>
      <c r="G116" s="17">
        <v>80</v>
      </c>
      <c r="H116" s="17">
        <v>84</v>
      </c>
      <c r="I116" s="17" t="s">
        <v>12</v>
      </c>
      <c r="J116" s="17">
        <f t="shared" si="7"/>
        <v>310</v>
      </c>
      <c r="K116" s="17">
        <f t="shared" si="8"/>
        <v>84</v>
      </c>
      <c r="L116" s="17">
        <f t="shared" si="9"/>
        <v>72</v>
      </c>
      <c r="M116" s="17"/>
      <c r="N116" s="17" t="str">
        <f t="shared" si="10"/>
        <v>PASS</v>
      </c>
    </row>
    <row r="117" spans="1:14" x14ac:dyDescent="0.3">
      <c r="A117" s="17">
        <v>116</v>
      </c>
      <c r="B117" s="17" t="s">
        <v>37</v>
      </c>
      <c r="C117" s="17" t="s">
        <v>28</v>
      </c>
      <c r="D117" s="17" t="s">
        <v>33</v>
      </c>
      <c r="E117" s="17">
        <v>97</v>
      </c>
      <c r="F117" s="17">
        <v>56</v>
      </c>
      <c r="G117" s="17">
        <v>87</v>
      </c>
      <c r="H117" s="17">
        <v>43</v>
      </c>
      <c r="I117" s="17" t="s">
        <v>12</v>
      </c>
      <c r="J117" s="17">
        <f t="shared" si="7"/>
        <v>283</v>
      </c>
      <c r="K117" s="17">
        <f t="shared" si="8"/>
        <v>97</v>
      </c>
      <c r="L117" s="17">
        <f t="shared" si="9"/>
        <v>43</v>
      </c>
      <c r="M117" s="17"/>
      <c r="N117" s="17" t="str">
        <f t="shared" si="10"/>
        <v>PASS</v>
      </c>
    </row>
    <row r="118" spans="1:14" x14ac:dyDescent="0.3">
      <c r="A118" s="17">
        <v>117</v>
      </c>
      <c r="B118" s="17" t="s">
        <v>13</v>
      </c>
      <c r="C118" s="17" t="s">
        <v>30</v>
      </c>
      <c r="D118" s="17" t="s">
        <v>27</v>
      </c>
      <c r="E118" s="17">
        <v>72</v>
      </c>
      <c r="F118" s="17">
        <v>39</v>
      </c>
      <c r="G118" s="17">
        <v>35</v>
      </c>
      <c r="H118" s="17">
        <v>92</v>
      </c>
      <c r="I118" s="17" t="s">
        <v>20</v>
      </c>
      <c r="J118" s="17">
        <f t="shared" si="7"/>
        <v>238</v>
      </c>
      <c r="K118" s="17">
        <f t="shared" si="8"/>
        <v>92</v>
      </c>
      <c r="L118" s="17">
        <f t="shared" si="9"/>
        <v>35</v>
      </c>
      <c r="M118" s="17"/>
      <c r="N118" s="17" t="str">
        <f t="shared" si="10"/>
        <v>FAIL</v>
      </c>
    </row>
    <row r="119" spans="1:14" x14ac:dyDescent="0.3">
      <c r="A119" s="17">
        <v>118</v>
      </c>
      <c r="B119" s="17" t="s">
        <v>48</v>
      </c>
      <c r="C119" s="17" t="s">
        <v>14</v>
      </c>
      <c r="D119" s="17" t="s">
        <v>45</v>
      </c>
      <c r="E119" s="17">
        <v>53</v>
      </c>
      <c r="F119" s="17">
        <v>75</v>
      </c>
      <c r="G119" s="17">
        <v>70</v>
      </c>
      <c r="H119" s="17">
        <v>98</v>
      </c>
      <c r="I119" s="17" t="s">
        <v>12</v>
      </c>
      <c r="J119" s="17">
        <f t="shared" si="7"/>
        <v>296</v>
      </c>
      <c r="K119" s="17">
        <f t="shared" si="8"/>
        <v>98</v>
      </c>
      <c r="L119" s="17">
        <f t="shared" si="9"/>
        <v>53</v>
      </c>
      <c r="M119" s="17"/>
      <c r="N119" s="17" t="str">
        <f t="shared" si="10"/>
        <v>PASS</v>
      </c>
    </row>
    <row r="120" spans="1:14" x14ac:dyDescent="0.3">
      <c r="A120" s="17">
        <v>119</v>
      </c>
      <c r="B120" s="17" t="s">
        <v>17</v>
      </c>
      <c r="C120" s="17" t="s">
        <v>28</v>
      </c>
      <c r="D120" s="17" t="s">
        <v>42</v>
      </c>
      <c r="E120" s="17">
        <v>79</v>
      </c>
      <c r="F120" s="17">
        <v>58</v>
      </c>
      <c r="G120" s="17">
        <v>63</v>
      </c>
      <c r="H120" s="17">
        <v>99</v>
      </c>
      <c r="I120" s="17" t="s">
        <v>12</v>
      </c>
      <c r="J120" s="17">
        <f t="shared" si="7"/>
        <v>299</v>
      </c>
      <c r="K120" s="17">
        <f t="shared" si="8"/>
        <v>99</v>
      </c>
      <c r="L120" s="17">
        <f t="shared" si="9"/>
        <v>58</v>
      </c>
      <c r="M120" s="17"/>
      <c r="N120" s="17" t="str">
        <f t="shared" si="10"/>
        <v>PASS</v>
      </c>
    </row>
    <row r="121" spans="1:14" x14ac:dyDescent="0.3">
      <c r="A121" s="17">
        <v>120</v>
      </c>
      <c r="B121" s="17" t="s">
        <v>48</v>
      </c>
      <c r="C121" s="17" t="s">
        <v>22</v>
      </c>
      <c r="D121" s="17" t="s">
        <v>45</v>
      </c>
      <c r="E121" s="17">
        <v>85</v>
      </c>
      <c r="F121" s="17">
        <v>42</v>
      </c>
      <c r="G121" s="17">
        <v>87</v>
      </c>
      <c r="H121" s="17">
        <v>98</v>
      </c>
      <c r="I121" s="17" t="s">
        <v>12</v>
      </c>
      <c r="J121" s="17">
        <f t="shared" si="7"/>
        <v>312</v>
      </c>
      <c r="K121" s="17">
        <f t="shared" si="8"/>
        <v>98</v>
      </c>
      <c r="L121" s="17">
        <f t="shared" si="9"/>
        <v>42</v>
      </c>
      <c r="M121" s="17"/>
      <c r="N121" s="17" t="str">
        <f t="shared" si="10"/>
        <v>PASS</v>
      </c>
    </row>
    <row r="122" spans="1:14" x14ac:dyDescent="0.3">
      <c r="A122" s="17">
        <v>121</v>
      </c>
      <c r="B122" s="17" t="s">
        <v>35</v>
      </c>
      <c r="C122" s="17" t="s">
        <v>28</v>
      </c>
      <c r="D122" s="17" t="s">
        <v>11</v>
      </c>
      <c r="E122" s="17">
        <v>60</v>
      </c>
      <c r="F122" s="17">
        <v>49</v>
      </c>
      <c r="G122" s="17">
        <v>58</v>
      </c>
      <c r="H122" s="17">
        <v>66</v>
      </c>
      <c r="I122" s="17" t="s">
        <v>20</v>
      </c>
      <c r="J122" s="17">
        <f t="shared" si="7"/>
        <v>233</v>
      </c>
      <c r="K122" s="17">
        <f t="shared" si="8"/>
        <v>66</v>
      </c>
      <c r="L122" s="17">
        <f t="shared" si="9"/>
        <v>49</v>
      </c>
      <c r="M122" s="17"/>
      <c r="N122" s="17" t="str">
        <f t="shared" si="10"/>
        <v>FAIL</v>
      </c>
    </row>
    <row r="123" spans="1:14" x14ac:dyDescent="0.3">
      <c r="A123" s="17">
        <v>122</v>
      </c>
      <c r="B123" s="17" t="s">
        <v>17</v>
      </c>
      <c r="C123" s="17" t="s">
        <v>14</v>
      </c>
      <c r="D123" s="17" t="s">
        <v>15</v>
      </c>
      <c r="E123" s="17">
        <v>96</v>
      </c>
      <c r="F123" s="17">
        <v>68</v>
      </c>
      <c r="G123" s="17">
        <v>78</v>
      </c>
      <c r="H123" s="17">
        <v>93</v>
      </c>
      <c r="I123" s="17" t="s">
        <v>12</v>
      </c>
      <c r="J123" s="17">
        <f t="shared" si="7"/>
        <v>335</v>
      </c>
      <c r="K123" s="17">
        <f t="shared" si="8"/>
        <v>96</v>
      </c>
      <c r="L123" s="17">
        <f t="shared" si="9"/>
        <v>68</v>
      </c>
      <c r="M123" s="17"/>
      <c r="N123" s="17" t="str">
        <f t="shared" si="10"/>
        <v>PASS</v>
      </c>
    </row>
    <row r="124" spans="1:14" x14ac:dyDescent="0.3">
      <c r="A124" s="17">
        <v>123</v>
      </c>
      <c r="B124" s="17" t="s">
        <v>41</v>
      </c>
      <c r="C124" s="17" t="s">
        <v>22</v>
      </c>
      <c r="D124" s="17" t="s">
        <v>50</v>
      </c>
      <c r="E124" s="17">
        <v>50</v>
      </c>
      <c r="F124" s="17">
        <v>96</v>
      </c>
      <c r="G124" s="17">
        <v>60</v>
      </c>
      <c r="H124" s="17">
        <v>70</v>
      </c>
      <c r="I124" s="17" t="s">
        <v>20</v>
      </c>
      <c r="J124" s="17">
        <f t="shared" si="7"/>
        <v>276</v>
      </c>
      <c r="K124" s="17">
        <f t="shared" si="8"/>
        <v>96</v>
      </c>
      <c r="L124" s="17">
        <f t="shared" si="9"/>
        <v>50</v>
      </c>
      <c r="M124" s="17"/>
      <c r="N124" s="17" t="str">
        <f t="shared" si="10"/>
        <v>PASS</v>
      </c>
    </row>
    <row r="125" spans="1:14" x14ac:dyDescent="0.3">
      <c r="A125" s="17">
        <v>124</v>
      </c>
      <c r="B125" s="17" t="s">
        <v>34</v>
      </c>
      <c r="C125" s="17" t="s">
        <v>30</v>
      </c>
      <c r="D125" s="17" t="s">
        <v>33</v>
      </c>
      <c r="E125" s="17">
        <v>48</v>
      </c>
      <c r="F125" s="17">
        <v>100</v>
      </c>
      <c r="G125" s="17">
        <v>37</v>
      </c>
      <c r="H125" s="17">
        <v>69</v>
      </c>
      <c r="I125" s="17" t="s">
        <v>20</v>
      </c>
      <c r="J125" s="17">
        <f t="shared" si="7"/>
        <v>254</v>
      </c>
      <c r="K125" s="17">
        <f t="shared" si="8"/>
        <v>100</v>
      </c>
      <c r="L125" s="17">
        <f t="shared" si="9"/>
        <v>37</v>
      </c>
      <c r="M125" s="17"/>
      <c r="N125" s="17" t="str">
        <f t="shared" si="10"/>
        <v>PASS</v>
      </c>
    </row>
    <row r="126" spans="1:14" x14ac:dyDescent="0.3">
      <c r="A126" s="17">
        <v>125</v>
      </c>
      <c r="B126" s="17" t="s">
        <v>38</v>
      </c>
      <c r="C126" s="17" t="s">
        <v>22</v>
      </c>
      <c r="D126" s="17" t="s">
        <v>45</v>
      </c>
      <c r="E126" s="17">
        <v>82</v>
      </c>
      <c r="F126" s="17">
        <v>62</v>
      </c>
      <c r="G126" s="17">
        <v>100</v>
      </c>
      <c r="H126" s="17">
        <v>47</v>
      </c>
      <c r="I126" s="17" t="s">
        <v>12</v>
      </c>
      <c r="J126" s="17">
        <f t="shared" si="7"/>
        <v>291</v>
      </c>
      <c r="K126" s="17">
        <f t="shared" si="8"/>
        <v>100</v>
      </c>
      <c r="L126" s="17">
        <f t="shared" si="9"/>
        <v>47</v>
      </c>
      <c r="M126" s="17"/>
      <c r="N126" s="17" t="str">
        <f t="shared" si="10"/>
        <v>PASS</v>
      </c>
    </row>
    <row r="127" spans="1:14" x14ac:dyDescent="0.3">
      <c r="A127" s="17">
        <v>126</v>
      </c>
      <c r="B127" s="17" t="s">
        <v>23</v>
      </c>
      <c r="C127" s="17" t="s">
        <v>28</v>
      </c>
      <c r="D127" s="17" t="s">
        <v>50</v>
      </c>
      <c r="E127" s="17">
        <v>63</v>
      </c>
      <c r="F127" s="17">
        <v>97</v>
      </c>
      <c r="G127" s="17">
        <v>86</v>
      </c>
      <c r="H127" s="17">
        <v>57</v>
      </c>
      <c r="I127" s="17" t="s">
        <v>12</v>
      </c>
      <c r="J127" s="17">
        <f t="shared" si="7"/>
        <v>303</v>
      </c>
      <c r="K127" s="17">
        <f t="shared" si="8"/>
        <v>97</v>
      </c>
      <c r="L127" s="17">
        <f t="shared" si="9"/>
        <v>57</v>
      </c>
      <c r="M127" s="17"/>
      <c r="N127" s="17" t="str">
        <f t="shared" si="10"/>
        <v>PASS</v>
      </c>
    </row>
    <row r="128" spans="1:14" x14ac:dyDescent="0.3">
      <c r="A128" s="17">
        <v>127</v>
      </c>
      <c r="B128" s="17" t="s">
        <v>41</v>
      </c>
      <c r="C128" s="17" t="s">
        <v>22</v>
      </c>
      <c r="D128" s="17" t="s">
        <v>29</v>
      </c>
      <c r="E128" s="17">
        <v>77</v>
      </c>
      <c r="F128" s="17">
        <v>52</v>
      </c>
      <c r="G128" s="17">
        <v>98</v>
      </c>
      <c r="H128" s="17">
        <v>85</v>
      </c>
      <c r="I128" s="17" t="s">
        <v>12</v>
      </c>
      <c r="J128" s="17">
        <f t="shared" si="7"/>
        <v>312</v>
      </c>
      <c r="K128" s="17">
        <f t="shared" si="8"/>
        <v>98</v>
      </c>
      <c r="L128" s="17">
        <f t="shared" si="9"/>
        <v>52</v>
      </c>
      <c r="M128" s="17"/>
      <c r="N128" s="17" t="str">
        <f t="shared" si="10"/>
        <v>PASS</v>
      </c>
    </row>
    <row r="129" spans="1:14" x14ac:dyDescent="0.3">
      <c r="A129" s="17">
        <v>128</v>
      </c>
      <c r="B129" s="17" t="s">
        <v>37</v>
      </c>
      <c r="C129" s="17" t="s">
        <v>10</v>
      </c>
      <c r="D129" s="17" t="s">
        <v>27</v>
      </c>
      <c r="E129" s="17">
        <v>40</v>
      </c>
      <c r="F129" s="17">
        <v>99</v>
      </c>
      <c r="G129" s="17">
        <v>46</v>
      </c>
      <c r="H129" s="17">
        <v>96</v>
      </c>
      <c r="I129" s="17" t="s">
        <v>12</v>
      </c>
      <c r="J129" s="17">
        <f t="shared" si="7"/>
        <v>281</v>
      </c>
      <c r="K129" s="17">
        <f t="shared" si="8"/>
        <v>99</v>
      </c>
      <c r="L129" s="17">
        <f t="shared" si="9"/>
        <v>40</v>
      </c>
      <c r="M129" s="17"/>
      <c r="N129" s="17" t="str">
        <f t="shared" si="10"/>
        <v>PASS</v>
      </c>
    </row>
    <row r="130" spans="1:14" x14ac:dyDescent="0.3">
      <c r="A130" s="17">
        <v>129</v>
      </c>
      <c r="B130" s="17" t="s">
        <v>56</v>
      </c>
      <c r="C130" s="17" t="s">
        <v>22</v>
      </c>
      <c r="D130" s="17" t="s">
        <v>50</v>
      </c>
      <c r="E130" s="17">
        <v>91</v>
      </c>
      <c r="F130" s="17">
        <v>66</v>
      </c>
      <c r="G130" s="17">
        <v>54</v>
      </c>
      <c r="H130" s="17">
        <v>59</v>
      </c>
      <c r="I130" s="17" t="s">
        <v>20</v>
      </c>
      <c r="J130" s="17">
        <f t="shared" si="7"/>
        <v>270</v>
      </c>
      <c r="K130" s="17">
        <f t="shared" si="8"/>
        <v>91</v>
      </c>
      <c r="L130" s="17">
        <f t="shared" si="9"/>
        <v>54</v>
      </c>
      <c r="M130" s="17"/>
      <c r="N130" s="17" t="str">
        <f t="shared" si="10"/>
        <v>PASS</v>
      </c>
    </row>
    <row r="131" spans="1:14" x14ac:dyDescent="0.3">
      <c r="A131" s="17">
        <v>130</v>
      </c>
      <c r="B131" s="17" t="s">
        <v>26</v>
      </c>
      <c r="C131" s="17" t="s">
        <v>28</v>
      </c>
      <c r="D131" s="17" t="s">
        <v>50</v>
      </c>
      <c r="E131" s="17">
        <v>99</v>
      </c>
      <c r="F131" s="17">
        <v>65</v>
      </c>
      <c r="G131" s="17">
        <v>66</v>
      </c>
      <c r="H131" s="17">
        <v>75</v>
      </c>
      <c r="I131" s="17" t="s">
        <v>12</v>
      </c>
      <c r="J131" s="17">
        <f t="shared" ref="J131:J151" si="11">SUM(E131:H131)</f>
        <v>305</v>
      </c>
      <c r="K131" s="17">
        <f t="shared" ref="K131:K151" si="12">MAX(E131:H131)</f>
        <v>99</v>
      </c>
      <c r="L131" s="17">
        <f t="shared" ref="L131:L151" si="13">MIN(E131:H131)</f>
        <v>65</v>
      </c>
      <c r="M131" s="17"/>
      <c r="N131" s="17" t="str">
        <f t="shared" ref="N131:N151" si="14">IF(J131&gt;250,"PASS","FAIL")</f>
        <v>PASS</v>
      </c>
    </row>
    <row r="132" spans="1:14" x14ac:dyDescent="0.3">
      <c r="A132" s="17">
        <v>131</v>
      </c>
      <c r="B132" s="17" t="s">
        <v>54</v>
      </c>
      <c r="C132" s="17" t="s">
        <v>10</v>
      </c>
      <c r="D132" s="17" t="s">
        <v>53</v>
      </c>
      <c r="E132" s="17">
        <v>59</v>
      </c>
      <c r="F132" s="17">
        <v>99</v>
      </c>
      <c r="G132" s="17">
        <v>66</v>
      </c>
      <c r="H132" s="17">
        <v>99</v>
      </c>
      <c r="I132" s="17" t="s">
        <v>12</v>
      </c>
      <c r="J132" s="17">
        <f t="shared" si="11"/>
        <v>323</v>
      </c>
      <c r="K132" s="17">
        <f t="shared" si="12"/>
        <v>99</v>
      </c>
      <c r="L132" s="17">
        <f t="shared" si="13"/>
        <v>59</v>
      </c>
      <c r="M132" s="17"/>
      <c r="N132" s="17" t="str">
        <f t="shared" si="14"/>
        <v>PASS</v>
      </c>
    </row>
    <row r="133" spans="1:14" x14ac:dyDescent="0.3">
      <c r="A133" s="17">
        <v>132</v>
      </c>
      <c r="B133" s="17" t="s">
        <v>13</v>
      </c>
      <c r="C133" s="17" t="s">
        <v>22</v>
      </c>
      <c r="D133" s="17" t="s">
        <v>27</v>
      </c>
      <c r="E133" s="17">
        <v>71</v>
      </c>
      <c r="F133" s="17">
        <v>54</v>
      </c>
      <c r="G133" s="17">
        <v>36</v>
      </c>
      <c r="H133" s="17">
        <v>38</v>
      </c>
      <c r="I133" s="17" t="s">
        <v>16</v>
      </c>
      <c r="J133" s="17">
        <f t="shared" si="11"/>
        <v>199</v>
      </c>
      <c r="K133" s="17">
        <f t="shared" si="12"/>
        <v>71</v>
      </c>
      <c r="L133" s="17">
        <f t="shared" si="13"/>
        <v>36</v>
      </c>
      <c r="M133" s="17"/>
      <c r="N133" s="17" t="str">
        <f t="shared" si="14"/>
        <v>FAIL</v>
      </c>
    </row>
    <row r="134" spans="1:14" x14ac:dyDescent="0.3">
      <c r="A134" s="17">
        <v>133</v>
      </c>
      <c r="B134" s="17" t="s">
        <v>52</v>
      </c>
      <c r="C134" s="17" t="s">
        <v>28</v>
      </c>
      <c r="D134" s="17" t="s">
        <v>31</v>
      </c>
      <c r="E134" s="17">
        <v>67</v>
      </c>
      <c r="F134" s="17">
        <v>42</v>
      </c>
      <c r="G134" s="17">
        <v>70</v>
      </c>
      <c r="H134" s="17">
        <v>99</v>
      </c>
      <c r="I134" s="17" t="s">
        <v>20</v>
      </c>
      <c r="J134" s="17">
        <f t="shared" si="11"/>
        <v>278</v>
      </c>
      <c r="K134" s="17">
        <f t="shared" si="12"/>
        <v>99</v>
      </c>
      <c r="L134" s="17">
        <f t="shared" si="13"/>
        <v>42</v>
      </c>
      <c r="M134" s="17"/>
      <c r="N134" s="17" t="str">
        <f t="shared" si="14"/>
        <v>PASS</v>
      </c>
    </row>
    <row r="135" spans="1:14" x14ac:dyDescent="0.3">
      <c r="A135" s="17">
        <v>134</v>
      </c>
      <c r="B135" s="17" t="s">
        <v>13</v>
      </c>
      <c r="C135" s="17" t="s">
        <v>14</v>
      </c>
      <c r="D135" s="17" t="s">
        <v>39</v>
      </c>
      <c r="E135" s="17">
        <v>99</v>
      </c>
      <c r="F135" s="17">
        <v>98</v>
      </c>
      <c r="G135" s="17">
        <v>51</v>
      </c>
      <c r="H135" s="17">
        <v>41</v>
      </c>
      <c r="I135" s="17" t="s">
        <v>12</v>
      </c>
      <c r="J135" s="17">
        <f t="shared" si="11"/>
        <v>289</v>
      </c>
      <c r="K135" s="17">
        <f t="shared" si="12"/>
        <v>99</v>
      </c>
      <c r="L135" s="17">
        <f t="shared" si="13"/>
        <v>41</v>
      </c>
      <c r="M135" s="17"/>
      <c r="N135" s="17" t="str">
        <f t="shared" si="14"/>
        <v>PASS</v>
      </c>
    </row>
    <row r="136" spans="1:14" x14ac:dyDescent="0.3">
      <c r="A136" s="17">
        <v>135</v>
      </c>
      <c r="B136" s="17" t="s">
        <v>26</v>
      </c>
      <c r="C136" s="17" t="s">
        <v>28</v>
      </c>
      <c r="D136" s="17" t="s">
        <v>27</v>
      </c>
      <c r="E136" s="17">
        <v>77</v>
      </c>
      <c r="F136" s="17">
        <v>74</v>
      </c>
      <c r="G136" s="17">
        <v>58</v>
      </c>
      <c r="H136" s="17">
        <v>54</v>
      </c>
      <c r="I136" s="17" t="s">
        <v>20</v>
      </c>
      <c r="J136" s="17">
        <f t="shared" si="11"/>
        <v>263</v>
      </c>
      <c r="K136" s="17">
        <f t="shared" si="12"/>
        <v>77</v>
      </c>
      <c r="L136" s="17">
        <f t="shared" si="13"/>
        <v>54</v>
      </c>
      <c r="M136" s="17"/>
      <c r="N136" s="17" t="str">
        <f t="shared" si="14"/>
        <v>PASS</v>
      </c>
    </row>
    <row r="137" spans="1:14" x14ac:dyDescent="0.3">
      <c r="A137" s="17">
        <v>136</v>
      </c>
      <c r="B137" s="17" t="s">
        <v>51</v>
      </c>
      <c r="C137" s="17" t="s">
        <v>14</v>
      </c>
      <c r="D137" s="17" t="s">
        <v>24</v>
      </c>
      <c r="E137" s="17">
        <v>64</v>
      </c>
      <c r="F137" s="17">
        <v>60</v>
      </c>
      <c r="G137" s="17">
        <v>46</v>
      </c>
      <c r="H137" s="17">
        <v>70</v>
      </c>
      <c r="I137" s="17" t="s">
        <v>20</v>
      </c>
      <c r="J137" s="17">
        <f t="shared" si="11"/>
        <v>240</v>
      </c>
      <c r="K137" s="17">
        <f t="shared" si="12"/>
        <v>70</v>
      </c>
      <c r="L137" s="17">
        <f t="shared" si="13"/>
        <v>46</v>
      </c>
      <c r="M137" s="17"/>
      <c r="N137" s="17" t="str">
        <f t="shared" si="14"/>
        <v>FAIL</v>
      </c>
    </row>
    <row r="138" spans="1:14" x14ac:dyDescent="0.3">
      <c r="A138" s="17">
        <v>137</v>
      </c>
      <c r="B138" s="17" t="s">
        <v>25</v>
      </c>
      <c r="C138" s="17" t="s">
        <v>10</v>
      </c>
      <c r="D138" s="17" t="s">
        <v>50</v>
      </c>
      <c r="E138" s="17">
        <v>49</v>
      </c>
      <c r="F138" s="17">
        <v>80</v>
      </c>
      <c r="G138" s="17">
        <v>71</v>
      </c>
      <c r="H138" s="17">
        <v>98</v>
      </c>
      <c r="I138" s="17" t="s">
        <v>12</v>
      </c>
      <c r="J138" s="17">
        <f t="shared" si="11"/>
        <v>298</v>
      </c>
      <c r="K138" s="17">
        <f t="shared" si="12"/>
        <v>98</v>
      </c>
      <c r="L138" s="17">
        <f t="shared" si="13"/>
        <v>49</v>
      </c>
      <c r="M138" s="17"/>
      <c r="N138" s="17" t="str">
        <f t="shared" si="14"/>
        <v>PASS</v>
      </c>
    </row>
    <row r="139" spans="1:14" x14ac:dyDescent="0.3">
      <c r="A139" s="17">
        <v>138</v>
      </c>
      <c r="B139" s="17" t="s">
        <v>40</v>
      </c>
      <c r="C139" s="17" t="s">
        <v>30</v>
      </c>
      <c r="D139" s="17" t="s">
        <v>29</v>
      </c>
      <c r="E139" s="17">
        <v>59</v>
      </c>
      <c r="F139" s="17">
        <v>67</v>
      </c>
      <c r="G139" s="17">
        <v>93</v>
      </c>
      <c r="H139" s="17">
        <v>87</v>
      </c>
      <c r="I139" s="17" t="s">
        <v>12</v>
      </c>
      <c r="J139" s="17">
        <f t="shared" si="11"/>
        <v>306</v>
      </c>
      <c r="K139" s="17">
        <f t="shared" si="12"/>
        <v>93</v>
      </c>
      <c r="L139" s="17">
        <f t="shared" si="13"/>
        <v>59</v>
      </c>
      <c r="M139" s="17"/>
      <c r="N139" s="17" t="str">
        <f t="shared" si="14"/>
        <v>PASS</v>
      </c>
    </row>
    <row r="140" spans="1:14" x14ac:dyDescent="0.3">
      <c r="A140" s="17">
        <v>139</v>
      </c>
      <c r="B140" s="17" t="s">
        <v>47</v>
      </c>
      <c r="C140" s="17" t="s">
        <v>10</v>
      </c>
      <c r="D140" s="17" t="s">
        <v>50</v>
      </c>
      <c r="E140" s="17">
        <v>57</v>
      </c>
      <c r="F140" s="17">
        <v>49</v>
      </c>
      <c r="G140" s="17">
        <v>96</v>
      </c>
      <c r="H140" s="17">
        <v>40</v>
      </c>
      <c r="I140" s="17" t="s">
        <v>20</v>
      </c>
      <c r="J140" s="17">
        <f t="shared" si="11"/>
        <v>242</v>
      </c>
      <c r="K140" s="17">
        <f t="shared" si="12"/>
        <v>96</v>
      </c>
      <c r="L140" s="17">
        <f t="shared" si="13"/>
        <v>40</v>
      </c>
      <c r="M140" s="17"/>
      <c r="N140" s="17" t="str">
        <f t="shared" si="14"/>
        <v>FAIL</v>
      </c>
    </row>
    <row r="141" spans="1:14" x14ac:dyDescent="0.3">
      <c r="A141" s="17">
        <v>140</v>
      </c>
      <c r="B141" s="17" t="s">
        <v>55</v>
      </c>
      <c r="C141" s="17" t="s">
        <v>14</v>
      </c>
      <c r="D141" s="17" t="s">
        <v>24</v>
      </c>
      <c r="E141" s="17">
        <v>58</v>
      </c>
      <c r="F141" s="17">
        <v>98</v>
      </c>
      <c r="G141" s="17">
        <v>82</v>
      </c>
      <c r="H141" s="17">
        <v>54</v>
      </c>
      <c r="I141" s="17" t="s">
        <v>12</v>
      </c>
      <c r="J141" s="17">
        <f t="shared" si="11"/>
        <v>292</v>
      </c>
      <c r="K141" s="17">
        <f t="shared" si="12"/>
        <v>98</v>
      </c>
      <c r="L141" s="17">
        <f t="shared" si="13"/>
        <v>54</v>
      </c>
      <c r="M141" s="17"/>
      <c r="N141" s="17" t="str">
        <f t="shared" si="14"/>
        <v>PASS</v>
      </c>
    </row>
    <row r="142" spans="1:14" x14ac:dyDescent="0.3">
      <c r="A142" s="17">
        <v>141</v>
      </c>
      <c r="B142" s="17" t="s">
        <v>58</v>
      </c>
      <c r="C142" s="17" t="s">
        <v>18</v>
      </c>
      <c r="D142" s="17" t="s">
        <v>42</v>
      </c>
      <c r="E142" s="17">
        <v>87</v>
      </c>
      <c r="F142" s="17">
        <v>69</v>
      </c>
      <c r="G142" s="17">
        <v>75</v>
      </c>
      <c r="H142" s="17">
        <v>58</v>
      </c>
      <c r="I142" s="17" t="s">
        <v>12</v>
      </c>
      <c r="J142" s="17">
        <f t="shared" si="11"/>
        <v>289</v>
      </c>
      <c r="K142" s="17">
        <f t="shared" si="12"/>
        <v>87</v>
      </c>
      <c r="L142" s="17">
        <f t="shared" si="13"/>
        <v>58</v>
      </c>
      <c r="M142" s="17"/>
      <c r="N142" s="17" t="str">
        <f t="shared" si="14"/>
        <v>PASS</v>
      </c>
    </row>
    <row r="143" spans="1:14" x14ac:dyDescent="0.3">
      <c r="A143" s="17">
        <v>142</v>
      </c>
      <c r="B143" s="17" t="s">
        <v>17</v>
      </c>
      <c r="C143" s="17" t="s">
        <v>10</v>
      </c>
      <c r="D143" s="17" t="s">
        <v>31</v>
      </c>
      <c r="E143" s="17">
        <v>98</v>
      </c>
      <c r="F143" s="17">
        <v>66</v>
      </c>
      <c r="G143" s="17">
        <v>41</v>
      </c>
      <c r="H143" s="17">
        <v>51</v>
      </c>
      <c r="I143" s="17" t="s">
        <v>20</v>
      </c>
      <c r="J143" s="17">
        <f t="shared" si="11"/>
        <v>256</v>
      </c>
      <c r="K143" s="17">
        <f t="shared" si="12"/>
        <v>98</v>
      </c>
      <c r="L143" s="17">
        <f t="shared" si="13"/>
        <v>41</v>
      </c>
      <c r="M143" s="17"/>
      <c r="N143" s="17" t="str">
        <f t="shared" si="14"/>
        <v>PASS</v>
      </c>
    </row>
    <row r="144" spans="1:14" x14ac:dyDescent="0.3">
      <c r="A144" s="17">
        <v>143</v>
      </c>
      <c r="B144" s="17" t="s">
        <v>55</v>
      </c>
      <c r="C144" s="17" t="s">
        <v>10</v>
      </c>
      <c r="D144" s="17" t="s">
        <v>19</v>
      </c>
      <c r="E144" s="17">
        <v>63</v>
      </c>
      <c r="F144" s="17">
        <v>71</v>
      </c>
      <c r="G144" s="17">
        <v>42</v>
      </c>
      <c r="H144" s="17">
        <v>43</v>
      </c>
      <c r="I144" s="17" t="s">
        <v>16</v>
      </c>
      <c r="J144" s="17">
        <f t="shared" si="11"/>
        <v>219</v>
      </c>
      <c r="K144" s="17">
        <f t="shared" si="12"/>
        <v>71</v>
      </c>
      <c r="L144" s="17">
        <f t="shared" si="13"/>
        <v>42</v>
      </c>
      <c r="M144" s="17"/>
      <c r="N144" s="17" t="str">
        <f t="shared" si="14"/>
        <v>FAIL</v>
      </c>
    </row>
    <row r="145" spans="1:14" x14ac:dyDescent="0.3">
      <c r="A145" s="17">
        <v>144</v>
      </c>
      <c r="B145" s="17" t="s">
        <v>38</v>
      </c>
      <c r="C145" s="17" t="s">
        <v>18</v>
      </c>
      <c r="D145" s="17" t="s">
        <v>29</v>
      </c>
      <c r="E145" s="17">
        <v>81</v>
      </c>
      <c r="F145" s="17">
        <v>96</v>
      </c>
      <c r="G145" s="17">
        <v>65</v>
      </c>
      <c r="H145" s="17">
        <v>85</v>
      </c>
      <c r="I145" s="17" t="s">
        <v>12</v>
      </c>
      <c r="J145" s="17">
        <f t="shared" si="11"/>
        <v>327</v>
      </c>
      <c r="K145" s="17">
        <f t="shared" si="12"/>
        <v>96</v>
      </c>
      <c r="L145" s="17">
        <f t="shared" si="13"/>
        <v>65</v>
      </c>
      <c r="M145" s="17"/>
      <c r="N145" s="17" t="str">
        <f t="shared" si="14"/>
        <v>PASS</v>
      </c>
    </row>
    <row r="146" spans="1:14" x14ac:dyDescent="0.3">
      <c r="A146" s="17">
        <v>145</v>
      </c>
      <c r="B146" s="17" t="s">
        <v>54</v>
      </c>
      <c r="C146" s="17" t="s">
        <v>18</v>
      </c>
      <c r="D146" s="17" t="s">
        <v>53</v>
      </c>
      <c r="E146" s="17">
        <v>64</v>
      </c>
      <c r="F146" s="17">
        <v>78</v>
      </c>
      <c r="G146" s="17">
        <v>74</v>
      </c>
      <c r="H146" s="17">
        <v>65</v>
      </c>
      <c r="I146" s="17" t="s">
        <v>12</v>
      </c>
      <c r="J146" s="17">
        <f t="shared" si="11"/>
        <v>281</v>
      </c>
      <c r="K146" s="17">
        <f t="shared" si="12"/>
        <v>78</v>
      </c>
      <c r="L146" s="17">
        <f t="shared" si="13"/>
        <v>64</v>
      </c>
      <c r="M146" s="17"/>
      <c r="N146" s="17" t="str">
        <f t="shared" si="14"/>
        <v>PASS</v>
      </c>
    </row>
    <row r="147" spans="1:14" x14ac:dyDescent="0.3">
      <c r="A147" s="17">
        <v>146</v>
      </c>
      <c r="B147" s="17" t="s">
        <v>55</v>
      </c>
      <c r="C147" s="17" t="s">
        <v>30</v>
      </c>
      <c r="D147" s="17" t="s">
        <v>33</v>
      </c>
      <c r="E147" s="17">
        <v>62</v>
      </c>
      <c r="F147" s="17">
        <v>88</v>
      </c>
      <c r="G147" s="17">
        <v>38</v>
      </c>
      <c r="H147" s="17">
        <v>94</v>
      </c>
      <c r="I147" s="17" t="s">
        <v>12</v>
      </c>
      <c r="J147" s="17">
        <f t="shared" si="11"/>
        <v>282</v>
      </c>
      <c r="K147" s="17">
        <f t="shared" si="12"/>
        <v>94</v>
      </c>
      <c r="L147" s="17">
        <f t="shared" si="13"/>
        <v>38</v>
      </c>
      <c r="M147" s="17"/>
      <c r="N147" s="17" t="str">
        <f t="shared" si="14"/>
        <v>PASS</v>
      </c>
    </row>
    <row r="148" spans="1:14" x14ac:dyDescent="0.3">
      <c r="A148" s="17">
        <v>147</v>
      </c>
      <c r="B148" s="17" t="s">
        <v>23</v>
      </c>
      <c r="C148" s="17" t="s">
        <v>22</v>
      </c>
      <c r="D148" s="17" t="s">
        <v>39</v>
      </c>
      <c r="E148" s="17">
        <v>56</v>
      </c>
      <c r="F148" s="17">
        <v>49</v>
      </c>
      <c r="G148" s="17">
        <v>69</v>
      </c>
      <c r="H148" s="17">
        <v>50</v>
      </c>
      <c r="I148" s="17" t="s">
        <v>20</v>
      </c>
      <c r="J148" s="17">
        <f t="shared" si="11"/>
        <v>224</v>
      </c>
      <c r="K148" s="17">
        <f t="shared" si="12"/>
        <v>69</v>
      </c>
      <c r="L148" s="17">
        <f t="shared" si="13"/>
        <v>49</v>
      </c>
      <c r="M148" s="17"/>
      <c r="N148" s="17" t="str">
        <f t="shared" si="14"/>
        <v>FAIL</v>
      </c>
    </row>
    <row r="149" spans="1:14" x14ac:dyDescent="0.3">
      <c r="A149" s="17">
        <v>148</v>
      </c>
      <c r="B149" s="17" t="s">
        <v>37</v>
      </c>
      <c r="C149" s="17" t="s">
        <v>22</v>
      </c>
      <c r="D149" s="17" t="s">
        <v>27</v>
      </c>
      <c r="E149" s="17">
        <v>86</v>
      </c>
      <c r="F149" s="17">
        <v>96</v>
      </c>
      <c r="G149" s="17">
        <v>54</v>
      </c>
      <c r="H149" s="17">
        <v>54</v>
      </c>
      <c r="I149" s="17" t="s">
        <v>12</v>
      </c>
      <c r="J149" s="17">
        <f t="shared" si="11"/>
        <v>290</v>
      </c>
      <c r="K149" s="17">
        <f t="shared" si="12"/>
        <v>96</v>
      </c>
      <c r="L149" s="17">
        <f t="shared" si="13"/>
        <v>54</v>
      </c>
      <c r="M149" s="17"/>
      <c r="N149" s="17" t="str">
        <f t="shared" si="14"/>
        <v>PASS</v>
      </c>
    </row>
    <row r="150" spans="1:14" x14ac:dyDescent="0.3">
      <c r="A150" s="17">
        <v>149</v>
      </c>
      <c r="B150" s="17" t="s">
        <v>25</v>
      </c>
      <c r="C150" s="17" t="s">
        <v>22</v>
      </c>
      <c r="D150" s="17" t="s">
        <v>50</v>
      </c>
      <c r="E150" s="17">
        <v>51</v>
      </c>
      <c r="F150" s="17">
        <v>75</v>
      </c>
      <c r="G150" s="17">
        <v>56</v>
      </c>
      <c r="H150" s="17">
        <v>96</v>
      </c>
      <c r="I150" s="17" t="s">
        <v>20</v>
      </c>
      <c r="J150" s="17">
        <f t="shared" si="11"/>
        <v>278</v>
      </c>
      <c r="K150" s="17">
        <f t="shared" si="12"/>
        <v>96</v>
      </c>
      <c r="L150" s="17">
        <f t="shared" si="13"/>
        <v>51</v>
      </c>
      <c r="M150" s="17"/>
      <c r="N150" s="17" t="str">
        <f t="shared" si="14"/>
        <v>PASS</v>
      </c>
    </row>
    <row r="151" spans="1:14" x14ac:dyDescent="0.3">
      <c r="A151" s="17">
        <v>150</v>
      </c>
      <c r="B151" s="17" t="s">
        <v>35</v>
      </c>
      <c r="C151" s="17" t="s">
        <v>30</v>
      </c>
      <c r="D151" s="17" t="s">
        <v>53</v>
      </c>
      <c r="E151" s="17">
        <v>50</v>
      </c>
      <c r="F151" s="17">
        <v>50</v>
      </c>
      <c r="G151" s="17">
        <v>99</v>
      </c>
      <c r="H151" s="17">
        <v>76</v>
      </c>
      <c r="I151" s="17" t="s">
        <v>20</v>
      </c>
      <c r="J151" s="17">
        <f t="shared" si="11"/>
        <v>275</v>
      </c>
      <c r="K151" s="17">
        <f t="shared" si="12"/>
        <v>99</v>
      </c>
      <c r="L151" s="17">
        <f t="shared" si="13"/>
        <v>50</v>
      </c>
      <c r="M151" s="17"/>
      <c r="N151" s="17" t="str">
        <f t="shared" si="14"/>
        <v>PASS</v>
      </c>
    </row>
  </sheetData>
  <autoFilter ref="A1:N151" xr:uid="{00000000-0001-0000-0000-000000000000}"/>
  <conditionalFormatting sqref="E1:E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{B2899DB6-67EF-46F6-B9C0-C047579F0B4A}</x14:id>
        </ext>
      </extLst>
    </cfRule>
  </conditionalFormatting>
  <conditionalFormatting sqref="G1:G104857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899DB6-67EF-46F6-B9C0-C047579F0B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150CA-12AC-49C3-80E6-FD8119D3335D}">
  <dimension ref="A1:M18"/>
  <sheetViews>
    <sheetView zoomScale="114" workbookViewId="0">
      <selection activeCell="G5" sqref="G5"/>
    </sheetView>
  </sheetViews>
  <sheetFormatPr defaultRowHeight="15.05" x14ac:dyDescent="0.3"/>
  <cols>
    <col min="1" max="1" width="12.88671875" bestFit="1" customWidth="1"/>
    <col min="2" max="2" width="6" bestFit="1" customWidth="1"/>
    <col min="3" max="3" width="6.109375" bestFit="1" customWidth="1"/>
    <col min="11" max="11" width="3" bestFit="1" customWidth="1"/>
    <col min="12" max="12" width="7.6640625" bestFit="1" customWidth="1"/>
    <col min="13" max="13" width="8.77734375" bestFit="1" customWidth="1"/>
  </cols>
  <sheetData>
    <row r="1" spans="1:13" ht="30.05" x14ac:dyDescent="0.3">
      <c r="A1" s="10" t="s">
        <v>87</v>
      </c>
      <c r="B1" s="10" t="s">
        <v>88</v>
      </c>
      <c r="C1" s="10" t="s">
        <v>8</v>
      </c>
      <c r="D1" s="14" t="s">
        <v>111</v>
      </c>
      <c r="K1">
        <v>1</v>
      </c>
      <c r="L1" s="12" t="s">
        <v>87</v>
      </c>
      <c r="M1" s="12" t="s">
        <v>107</v>
      </c>
    </row>
    <row r="2" spans="1:13" ht="30.05" x14ac:dyDescent="0.3">
      <c r="A2" s="11" t="s">
        <v>89</v>
      </c>
      <c r="B2" s="11">
        <v>92</v>
      </c>
      <c r="C2" s="11" t="s">
        <v>90</v>
      </c>
      <c r="D2" t="str">
        <f>VLOOKUP(A2,L:M,2)</f>
        <v>Mumbai</v>
      </c>
      <c r="F2" s="9" t="s">
        <v>112</v>
      </c>
      <c r="K2">
        <v>2</v>
      </c>
      <c r="L2" s="13" t="s">
        <v>89</v>
      </c>
      <c r="M2" s="13" t="s">
        <v>50</v>
      </c>
    </row>
    <row r="3" spans="1:13" ht="30.05" x14ac:dyDescent="0.3">
      <c r="A3" s="11" t="s">
        <v>91</v>
      </c>
      <c r="B3" s="11">
        <v>85</v>
      </c>
      <c r="C3" s="11" t="s">
        <v>46</v>
      </c>
      <c r="D3" t="str">
        <f t="shared" ref="D3:D18" si="0">VLOOKUP(A3,L:M,2)</f>
        <v>Delhi</v>
      </c>
      <c r="K3">
        <v>3</v>
      </c>
      <c r="L3" s="13" t="s">
        <v>91</v>
      </c>
      <c r="M3" s="13" t="s">
        <v>31</v>
      </c>
    </row>
    <row r="4" spans="1:13" ht="30.05" x14ac:dyDescent="0.3">
      <c r="A4" s="11" t="s">
        <v>92</v>
      </c>
      <c r="B4" s="11">
        <v>76</v>
      </c>
      <c r="C4" s="11" t="s">
        <v>12</v>
      </c>
      <c r="D4" t="str">
        <f t="shared" si="0"/>
        <v>Chennai</v>
      </c>
      <c r="K4">
        <v>4</v>
      </c>
      <c r="L4" s="13" t="s">
        <v>92</v>
      </c>
      <c r="M4" s="13" t="s">
        <v>33</v>
      </c>
    </row>
    <row r="5" spans="1:13" ht="30.05" x14ac:dyDescent="0.3">
      <c r="A5" s="11" t="s">
        <v>93</v>
      </c>
      <c r="B5" s="11">
        <v>88</v>
      </c>
      <c r="C5" s="11" t="s">
        <v>46</v>
      </c>
      <c r="D5" t="str">
        <f t="shared" si="0"/>
        <v>Chennai</v>
      </c>
      <c r="K5">
        <v>5</v>
      </c>
      <c r="L5" s="13" t="s">
        <v>93</v>
      </c>
      <c r="M5" s="13" t="s">
        <v>39</v>
      </c>
    </row>
    <row r="6" spans="1:13" ht="30.05" x14ac:dyDescent="0.3">
      <c r="A6" s="11" t="s">
        <v>94</v>
      </c>
      <c r="B6" s="11">
        <v>95</v>
      </c>
      <c r="C6" s="11" t="s">
        <v>90</v>
      </c>
      <c r="D6" t="str">
        <f t="shared" si="0"/>
        <v>Chennai</v>
      </c>
      <c r="K6">
        <v>6</v>
      </c>
      <c r="L6" s="13" t="s">
        <v>94</v>
      </c>
      <c r="M6" s="13" t="s">
        <v>108</v>
      </c>
    </row>
    <row r="7" spans="1:13" ht="30.05" x14ac:dyDescent="0.3">
      <c r="A7" s="11" t="s">
        <v>95</v>
      </c>
      <c r="B7" s="11">
        <v>67</v>
      </c>
      <c r="C7" s="11" t="s">
        <v>20</v>
      </c>
      <c r="D7" t="str">
        <f t="shared" si="0"/>
        <v>Mumbai</v>
      </c>
      <c r="K7">
        <v>7</v>
      </c>
      <c r="L7" s="13" t="s">
        <v>95</v>
      </c>
      <c r="M7" s="13" t="s">
        <v>53</v>
      </c>
    </row>
    <row r="8" spans="1:13" ht="30.05" x14ac:dyDescent="0.3">
      <c r="A8" s="11" t="s">
        <v>96</v>
      </c>
      <c r="B8" s="11">
        <v>81</v>
      </c>
      <c r="C8" s="11" t="s">
        <v>46</v>
      </c>
      <c r="D8" t="str">
        <f t="shared" si="0"/>
        <v>Pune</v>
      </c>
      <c r="K8">
        <v>8</v>
      </c>
      <c r="L8" s="13" t="s">
        <v>96</v>
      </c>
      <c r="M8" s="13" t="s">
        <v>24</v>
      </c>
    </row>
    <row r="9" spans="1:13" ht="30.05" x14ac:dyDescent="0.3">
      <c r="A9" s="11" t="s">
        <v>97</v>
      </c>
      <c r="B9" s="11">
        <v>73</v>
      </c>
      <c r="C9" s="11" t="s">
        <v>12</v>
      </c>
      <c r="D9" t="str">
        <f t="shared" si="0"/>
        <v>Delhi</v>
      </c>
      <c r="K9">
        <v>9</v>
      </c>
      <c r="L9" s="13" t="s">
        <v>97</v>
      </c>
      <c r="M9" s="13" t="s">
        <v>27</v>
      </c>
    </row>
    <row r="10" spans="1:13" ht="30.05" x14ac:dyDescent="0.3">
      <c r="A10" s="11" t="s">
        <v>98</v>
      </c>
      <c r="B10" s="11">
        <v>59</v>
      </c>
      <c r="C10" s="11" t="s">
        <v>16</v>
      </c>
      <c r="D10" t="str">
        <f t="shared" si="0"/>
        <v>Mumbai</v>
      </c>
      <c r="K10">
        <v>10</v>
      </c>
      <c r="L10" s="13" t="s">
        <v>98</v>
      </c>
      <c r="M10" s="13" t="s">
        <v>109</v>
      </c>
    </row>
    <row r="11" spans="1:13" ht="30.05" x14ac:dyDescent="0.3">
      <c r="A11" s="11" t="s">
        <v>99</v>
      </c>
      <c r="B11" s="11">
        <v>90</v>
      </c>
      <c r="C11" s="11" t="s">
        <v>90</v>
      </c>
      <c r="D11" t="str">
        <f t="shared" si="0"/>
        <v>Lucknow</v>
      </c>
      <c r="K11">
        <v>11</v>
      </c>
      <c r="L11" s="13" t="s">
        <v>99</v>
      </c>
      <c r="M11" s="13" t="s">
        <v>110</v>
      </c>
    </row>
    <row r="12" spans="1:13" ht="30.05" x14ac:dyDescent="0.3">
      <c r="A12" s="11" t="s">
        <v>100</v>
      </c>
      <c r="B12" s="11">
        <v>78</v>
      </c>
      <c r="C12" s="11" t="s">
        <v>12</v>
      </c>
      <c r="D12" t="str">
        <f t="shared" si="0"/>
        <v>Mumbai</v>
      </c>
      <c r="K12">
        <v>12</v>
      </c>
      <c r="L12" s="13" t="s">
        <v>100</v>
      </c>
      <c r="M12" s="13" t="s">
        <v>45</v>
      </c>
    </row>
    <row r="13" spans="1:13" ht="30.05" x14ac:dyDescent="0.3">
      <c r="A13" s="11" t="s">
        <v>101</v>
      </c>
      <c r="B13" s="11">
        <v>84</v>
      </c>
      <c r="C13" s="11" t="s">
        <v>46</v>
      </c>
      <c r="D13" t="str">
        <f t="shared" si="0"/>
        <v>Nagpur</v>
      </c>
      <c r="K13">
        <v>13</v>
      </c>
      <c r="L13" s="13" t="s">
        <v>101</v>
      </c>
      <c r="M13" s="13" t="s">
        <v>19</v>
      </c>
    </row>
    <row r="14" spans="1:13" ht="30.05" x14ac:dyDescent="0.3">
      <c r="A14" s="11" t="s">
        <v>102</v>
      </c>
      <c r="B14" s="11">
        <v>69</v>
      </c>
      <c r="C14" s="11" t="s">
        <v>20</v>
      </c>
      <c r="D14" t="str">
        <f t="shared" si="0"/>
        <v>Chennai</v>
      </c>
      <c r="K14">
        <v>14</v>
      </c>
      <c r="L14" s="13" t="s">
        <v>102</v>
      </c>
      <c r="M14" s="13" t="s">
        <v>15</v>
      </c>
    </row>
    <row r="15" spans="1:13" x14ac:dyDescent="0.3">
      <c r="A15" s="11" t="s">
        <v>103</v>
      </c>
      <c r="B15" s="11">
        <v>91</v>
      </c>
      <c r="C15" s="11" t="s">
        <v>90</v>
      </c>
      <c r="D15" t="str">
        <f t="shared" si="0"/>
        <v>Lucknow</v>
      </c>
    </row>
    <row r="16" spans="1:13" x14ac:dyDescent="0.3">
      <c r="A16" s="11" t="s">
        <v>104</v>
      </c>
      <c r="B16" s="11">
        <v>64</v>
      </c>
      <c r="C16" s="11" t="s">
        <v>20</v>
      </c>
      <c r="D16" t="str">
        <f t="shared" si="0"/>
        <v>Lucknow</v>
      </c>
    </row>
    <row r="17" spans="1:4" x14ac:dyDescent="0.3">
      <c r="A17" s="11" t="s">
        <v>105</v>
      </c>
      <c r="B17" s="11">
        <v>87</v>
      </c>
      <c r="C17" s="11" t="s">
        <v>46</v>
      </c>
      <c r="D17" t="str">
        <f t="shared" si="0"/>
        <v>Lucknow</v>
      </c>
    </row>
    <row r="18" spans="1:4" x14ac:dyDescent="0.3">
      <c r="A18" s="11" t="s">
        <v>106</v>
      </c>
      <c r="B18" s="11">
        <v>72</v>
      </c>
      <c r="C18" s="11" t="s">
        <v>12</v>
      </c>
      <c r="D18" t="str">
        <f t="shared" si="0"/>
        <v>Chennai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1"/>
  <sheetViews>
    <sheetView workbookViewId="0"/>
  </sheetViews>
  <sheetFormatPr defaultRowHeight="15.0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28</v>
      </c>
      <c r="D2" t="s">
        <v>27</v>
      </c>
      <c r="E2">
        <v>41</v>
      </c>
      <c r="F2">
        <v>93</v>
      </c>
      <c r="G2">
        <v>96</v>
      </c>
      <c r="H2">
        <v>63</v>
      </c>
      <c r="I2" t="s">
        <v>12</v>
      </c>
    </row>
    <row r="3" spans="1:9" x14ac:dyDescent="0.3">
      <c r="A3">
        <v>2</v>
      </c>
      <c r="B3" t="s">
        <v>13</v>
      </c>
      <c r="C3" t="s">
        <v>14</v>
      </c>
      <c r="D3" t="s">
        <v>15</v>
      </c>
      <c r="E3">
        <v>37</v>
      </c>
      <c r="F3">
        <v>75</v>
      </c>
      <c r="G3">
        <v>35</v>
      </c>
      <c r="H3">
        <v>70</v>
      </c>
      <c r="I3" t="s">
        <v>16</v>
      </c>
    </row>
    <row r="4" spans="1:9" x14ac:dyDescent="0.3">
      <c r="A4">
        <v>3</v>
      </c>
      <c r="B4" t="s">
        <v>17</v>
      </c>
      <c r="C4" t="s">
        <v>28</v>
      </c>
      <c r="D4" t="s">
        <v>19</v>
      </c>
      <c r="E4">
        <v>61</v>
      </c>
      <c r="F4">
        <v>60</v>
      </c>
      <c r="G4">
        <v>55</v>
      </c>
      <c r="H4">
        <v>83</v>
      </c>
      <c r="I4" t="s">
        <v>20</v>
      </c>
    </row>
    <row r="5" spans="1:9" x14ac:dyDescent="0.3">
      <c r="A5">
        <v>4</v>
      </c>
      <c r="B5" t="s">
        <v>21</v>
      </c>
      <c r="C5" t="s">
        <v>14</v>
      </c>
      <c r="D5" t="s">
        <v>19</v>
      </c>
      <c r="E5">
        <v>62</v>
      </c>
      <c r="F5">
        <v>70</v>
      </c>
      <c r="G5">
        <v>84</v>
      </c>
      <c r="H5">
        <v>88</v>
      </c>
      <c r="I5" t="s">
        <v>12</v>
      </c>
    </row>
    <row r="6" spans="1:9" x14ac:dyDescent="0.3">
      <c r="A6">
        <v>5</v>
      </c>
      <c r="B6" t="s">
        <v>23</v>
      </c>
      <c r="C6" t="s">
        <v>28</v>
      </c>
      <c r="D6" t="s">
        <v>24</v>
      </c>
      <c r="E6">
        <v>85</v>
      </c>
      <c r="F6">
        <v>96</v>
      </c>
      <c r="G6">
        <v>37</v>
      </c>
      <c r="H6">
        <v>68</v>
      </c>
      <c r="I6" t="s">
        <v>12</v>
      </c>
    </row>
    <row r="7" spans="1:9" x14ac:dyDescent="0.3">
      <c r="A7">
        <v>6</v>
      </c>
      <c r="B7" t="s">
        <v>25</v>
      </c>
      <c r="C7" t="s">
        <v>28</v>
      </c>
      <c r="D7" t="s">
        <v>24</v>
      </c>
      <c r="E7">
        <v>85</v>
      </c>
      <c r="F7">
        <v>77</v>
      </c>
      <c r="G7">
        <v>43</v>
      </c>
      <c r="H7">
        <v>36</v>
      </c>
      <c r="I7" t="s">
        <v>20</v>
      </c>
    </row>
    <row r="8" spans="1:9" x14ac:dyDescent="0.3">
      <c r="A8">
        <v>7</v>
      </c>
      <c r="B8" t="s">
        <v>26</v>
      </c>
      <c r="C8" t="s">
        <v>28</v>
      </c>
      <c r="D8" t="s">
        <v>27</v>
      </c>
      <c r="E8">
        <v>54</v>
      </c>
      <c r="F8">
        <v>48</v>
      </c>
      <c r="G8">
        <v>63</v>
      </c>
      <c r="H8">
        <v>73</v>
      </c>
      <c r="I8" t="s">
        <v>20</v>
      </c>
    </row>
    <row r="9" spans="1:9" x14ac:dyDescent="0.3">
      <c r="A9">
        <v>8</v>
      </c>
      <c r="B9" t="s">
        <v>17</v>
      </c>
      <c r="C9" t="s">
        <v>28</v>
      </c>
      <c r="D9" t="s">
        <v>50</v>
      </c>
      <c r="E9">
        <v>64</v>
      </c>
      <c r="F9">
        <v>58</v>
      </c>
      <c r="G9">
        <v>37</v>
      </c>
      <c r="H9">
        <v>63</v>
      </c>
      <c r="I9" t="s">
        <v>20</v>
      </c>
    </row>
    <row r="10" spans="1:9" x14ac:dyDescent="0.3">
      <c r="A10">
        <v>9</v>
      </c>
      <c r="B10" t="s">
        <v>21</v>
      </c>
      <c r="C10" t="s">
        <v>14</v>
      </c>
      <c r="D10" t="s">
        <v>31</v>
      </c>
      <c r="E10">
        <v>100</v>
      </c>
      <c r="F10">
        <v>42</v>
      </c>
      <c r="G10">
        <v>89</v>
      </c>
      <c r="H10">
        <v>46</v>
      </c>
      <c r="I10" t="s">
        <v>20</v>
      </c>
    </row>
    <row r="11" spans="1:9" x14ac:dyDescent="0.3">
      <c r="A11">
        <v>10</v>
      </c>
      <c r="B11" t="s">
        <v>23</v>
      </c>
      <c r="C11" t="s">
        <v>28</v>
      </c>
      <c r="D11" t="s">
        <v>50</v>
      </c>
      <c r="E11">
        <v>56</v>
      </c>
      <c r="F11">
        <v>93</v>
      </c>
      <c r="G11">
        <v>43</v>
      </c>
      <c r="H11">
        <v>41</v>
      </c>
      <c r="I11" t="s">
        <v>20</v>
      </c>
    </row>
    <row r="12" spans="1:9" x14ac:dyDescent="0.3">
      <c r="A12">
        <v>11</v>
      </c>
      <c r="B12" t="s">
        <v>9</v>
      </c>
      <c r="C12" t="s">
        <v>14</v>
      </c>
      <c r="D12" t="s">
        <v>50</v>
      </c>
      <c r="E12">
        <v>80</v>
      </c>
      <c r="F12">
        <v>45</v>
      </c>
      <c r="G12">
        <v>64</v>
      </c>
      <c r="H12">
        <v>94</v>
      </c>
      <c r="I12" t="s">
        <v>12</v>
      </c>
    </row>
    <row r="13" spans="1:9" x14ac:dyDescent="0.3">
      <c r="A13">
        <v>12</v>
      </c>
      <c r="B13" t="s">
        <v>32</v>
      </c>
      <c r="C13" t="s">
        <v>28</v>
      </c>
      <c r="D13" t="s">
        <v>24</v>
      </c>
      <c r="E13">
        <v>53</v>
      </c>
      <c r="F13">
        <v>59</v>
      </c>
      <c r="G13">
        <v>35</v>
      </c>
      <c r="H13">
        <v>58</v>
      </c>
      <c r="I13" t="s">
        <v>16</v>
      </c>
    </row>
    <row r="14" spans="1:9" x14ac:dyDescent="0.3">
      <c r="A14">
        <v>13</v>
      </c>
      <c r="B14" t="s">
        <v>25</v>
      </c>
      <c r="C14" t="s">
        <v>14</v>
      </c>
      <c r="D14" t="s">
        <v>33</v>
      </c>
      <c r="E14">
        <v>78</v>
      </c>
      <c r="F14">
        <v>45</v>
      </c>
      <c r="G14">
        <v>54</v>
      </c>
      <c r="H14">
        <v>70</v>
      </c>
      <c r="I14" t="s">
        <v>20</v>
      </c>
    </row>
    <row r="15" spans="1:9" x14ac:dyDescent="0.3">
      <c r="A15">
        <v>14</v>
      </c>
      <c r="B15" t="s">
        <v>34</v>
      </c>
      <c r="C15" t="s">
        <v>28</v>
      </c>
      <c r="D15" t="s">
        <v>19</v>
      </c>
      <c r="E15">
        <v>58</v>
      </c>
      <c r="F15">
        <v>45</v>
      </c>
      <c r="G15">
        <v>49</v>
      </c>
      <c r="H15">
        <v>39</v>
      </c>
      <c r="I15" t="s">
        <v>16</v>
      </c>
    </row>
    <row r="16" spans="1:9" x14ac:dyDescent="0.3">
      <c r="A16">
        <v>15</v>
      </c>
      <c r="B16" t="s">
        <v>34</v>
      </c>
      <c r="C16" t="s">
        <v>14</v>
      </c>
      <c r="D16" t="s">
        <v>19</v>
      </c>
      <c r="E16">
        <v>43</v>
      </c>
      <c r="F16">
        <v>83</v>
      </c>
      <c r="G16">
        <v>90</v>
      </c>
      <c r="H16">
        <v>80</v>
      </c>
      <c r="I16" t="s">
        <v>12</v>
      </c>
    </row>
    <row r="17" spans="1:9" x14ac:dyDescent="0.3">
      <c r="A17">
        <v>16</v>
      </c>
      <c r="B17" t="s">
        <v>35</v>
      </c>
      <c r="C17" t="s">
        <v>28</v>
      </c>
      <c r="D17" t="s">
        <v>36</v>
      </c>
      <c r="E17">
        <v>62</v>
      </c>
      <c r="F17">
        <v>46</v>
      </c>
      <c r="G17">
        <v>35</v>
      </c>
      <c r="H17">
        <v>47</v>
      </c>
      <c r="I17" t="s">
        <v>16</v>
      </c>
    </row>
    <row r="18" spans="1:9" x14ac:dyDescent="0.3">
      <c r="A18">
        <v>17</v>
      </c>
      <c r="B18" t="s">
        <v>23</v>
      </c>
      <c r="C18" t="s">
        <v>14</v>
      </c>
      <c r="D18" t="s">
        <v>15</v>
      </c>
      <c r="E18">
        <v>47</v>
      </c>
      <c r="F18">
        <v>83</v>
      </c>
      <c r="G18">
        <v>41</v>
      </c>
      <c r="H18">
        <v>61</v>
      </c>
      <c r="I18" t="s">
        <v>20</v>
      </c>
    </row>
    <row r="19" spans="1:9" x14ac:dyDescent="0.3">
      <c r="A19">
        <v>18</v>
      </c>
      <c r="B19" t="s">
        <v>17</v>
      </c>
      <c r="C19" t="s">
        <v>14</v>
      </c>
      <c r="D19" t="s">
        <v>33</v>
      </c>
      <c r="E19">
        <v>88</v>
      </c>
      <c r="F19">
        <v>36</v>
      </c>
      <c r="G19">
        <v>79</v>
      </c>
      <c r="H19">
        <v>89</v>
      </c>
      <c r="I19" t="s">
        <v>12</v>
      </c>
    </row>
    <row r="20" spans="1:9" x14ac:dyDescent="0.3">
      <c r="A20">
        <v>19</v>
      </c>
      <c r="B20" t="s">
        <v>37</v>
      </c>
      <c r="C20" t="s">
        <v>14</v>
      </c>
      <c r="D20" t="s">
        <v>24</v>
      </c>
      <c r="E20">
        <v>54</v>
      </c>
      <c r="F20">
        <v>78</v>
      </c>
      <c r="G20">
        <v>73</v>
      </c>
      <c r="H20">
        <v>63</v>
      </c>
      <c r="I20" t="s">
        <v>20</v>
      </c>
    </row>
    <row r="21" spans="1:9" x14ac:dyDescent="0.3">
      <c r="A21">
        <v>20</v>
      </c>
      <c r="B21" t="s">
        <v>38</v>
      </c>
      <c r="C21" t="s">
        <v>14</v>
      </c>
      <c r="D21" t="s">
        <v>39</v>
      </c>
      <c r="E21">
        <v>70</v>
      </c>
      <c r="F21">
        <v>53</v>
      </c>
      <c r="G21">
        <v>61</v>
      </c>
      <c r="H21">
        <v>56</v>
      </c>
      <c r="I21" t="s">
        <v>20</v>
      </c>
    </row>
    <row r="22" spans="1:9" x14ac:dyDescent="0.3">
      <c r="A22">
        <v>21</v>
      </c>
      <c r="B22" t="s">
        <v>38</v>
      </c>
      <c r="C22" t="s">
        <v>14</v>
      </c>
      <c r="D22" t="s">
        <v>50</v>
      </c>
      <c r="E22">
        <v>57</v>
      </c>
      <c r="F22">
        <v>87</v>
      </c>
      <c r="G22">
        <v>51</v>
      </c>
      <c r="H22">
        <v>35</v>
      </c>
      <c r="I22" t="s">
        <v>20</v>
      </c>
    </row>
    <row r="23" spans="1:9" x14ac:dyDescent="0.3">
      <c r="A23">
        <v>22</v>
      </c>
      <c r="B23" t="s">
        <v>40</v>
      </c>
      <c r="C23" t="s">
        <v>14</v>
      </c>
      <c r="D23" t="s">
        <v>27</v>
      </c>
      <c r="E23">
        <v>35</v>
      </c>
      <c r="F23">
        <v>49</v>
      </c>
      <c r="G23">
        <v>39</v>
      </c>
      <c r="H23">
        <v>55</v>
      </c>
      <c r="I23" t="s">
        <v>16</v>
      </c>
    </row>
    <row r="24" spans="1:9" x14ac:dyDescent="0.3">
      <c r="A24">
        <v>23</v>
      </c>
      <c r="B24" t="s">
        <v>41</v>
      </c>
      <c r="C24" t="s">
        <v>14</v>
      </c>
      <c r="D24" t="s">
        <v>15</v>
      </c>
      <c r="E24">
        <v>78</v>
      </c>
      <c r="F24">
        <v>82</v>
      </c>
      <c r="G24">
        <v>72</v>
      </c>
      <c r="H24">
        <v>35</v>
      </c>
      <c r="I24" t="s">
        <v>20</v>
      </c>
    </row>
    <row r="25" spans="1:9" x14ac:dyDescent="0.3">
      <c r="A25">
        <v>24</v>
      </c>
      <c r="B25" t="s">
        <v>35</v>
      </c>
      <c r="C25" t="s">
        <v>14</v>
      </c>
      <c r="D25" t="s">
        <v>27</v>
      </c>
      <c r="E25">
        <v>91</v>
      </c>
      <c r="F25">
        <v>53</v>
      </c>
      <c r="G25">
        <v>45</v>
      </c>
      <c r="H25">
        <v>75</v>
      </c>
      <c r="I25" t="s">
        <v>20</v>
      </c>
    </row>
    <row r="26" spans="1:9" x14ac:dyDescent="0.3">
      <c r="A26">
        <v>25</v>
      </c>
      <c r="B26" t="s">
        <v>25</v>
      </c>
      <c r="C26" t="s">
        <v>28</v>
      </c>
      <c r="D26" t="s">
        <v>31</v>
      </c>
      <c r="E26">
        <v>41</v>
      </c>
      <c r="F26">
        <v>36</v>
      </c>
      <c r="G26">
        <v>47</v>
      </c>
      <c r="H26">
        <v>54</v>
      </c>
      <c r="I26" t="s">
        <v>16</v>
      </c>
    </row>
    <row r="27" spans="1:9" x14ac:dyDescent="0.3">
      <c r="A27">
        <v>26</v>
      </c>
      <c r="B27" t="s">
        <v>43</v>
      </c>
      <c r="C27" t="s">
        <v>28</v>
      </c>
      <c r="D27" t="s">
        <v>33</v>
      </c>
      <c r="E27">
        <v>74</v>
      </c>
      <c r="F27">
        <v>37</v>
      </c>
      <c r="G27">
        <v>38</v>
      </c>
      <c r="H27">
        <v>87</v>
      </c>
      <c r="I27" t="s">
        <v>20</v>
      </c>
    </row>
    <row r="28" spans="1:9" x14ac:dyDescent="0.3">
      <c r="A28">
        <v>27</v>
      </c>
      <c r="B28" t="s">
        <v>44</v>
      </c>
      <c r="C28" t="s">
        <v>28</v>
      </c>
      <c r="D28" t="s">
        <v>19</v>
      </c>
      <c r="E28">
        <v>52</v>
      </c>
      <c r="F28">
        <v>49</v>
      </c>
      <c r="G28">
        <v>65</v>
      </c>
      <c r="H28">
        <v>36</v>
      </c>
      <c r="I28" t="s">
        <v>16</v>
      </c>
    </row>
    <row r="29" spans="1:9" x14ac:dyDescent="0.3">
      <c r="A29">
        <v>28</v>
      </c>
      <c r="B29" t="s">
        <v>35</v>
      </c>
      <c r="C29" t="s">
        <v>14</v>
      </c>
      <c r="D29" t="s">
        <v>31</v>
      </c>
      <c r="E29">
        <v>89</v>
      </c>
      <c r="F29">
        <v>87</v>
      </c>
      <c r="G29">
        <v>47</v>
      </c>
      <c r="H29">
        <v>93</v>
      </c>
      <c r="I29" t="s">
        <v>12</v>
      </c>
    </row>
    <row r="30" spans="1:9" x14ac:dyDescent="0.3">
      <c r="A30">
        <v>29</v>
      </c>
      <c r="B30" t="s">
        <v>21</v>
      </c>
      <c r="C30" t="s">
        <v>28</v>
      </c>
      <c r="D30" t="s">
        <v>33</v>
      </c>
      <c r="E30">
        <v>52</v>
      </c>
      <c r="F30">
        <v>95</v>
      </c>
      <c r="G30">
        <v>93</v>
      </c>
      <c r="H30">
        <v>78</v>
      </c>
      <c r="I30" t="s">
        <v>12</v>
      </c>
    </row>
    <row r="31" spans="1:9" x14ac:dyDescent="0.3">
      <c r="A31">
        <v>30</v>
      </c>
      <c r="B31" t="s">
        <v>44</v>
      </c>
      <c r="C31" t="s">
        <v>14</v>
      </c>
      <c r="D31" t="s">
        <v>39</v>
      </c>
      <c r="E31">
        <v>44</v>
      </c>
      <c r="F31">
        <v>60</v>
      </c>
      <c r="G31">
        <v>97</v>
      </c>
      <c r="H31">
        <v>43</v>
      </c>
      <c r="I31" t="s">
        <v>20</v>
      </c>
    </row>
    <row r="32" spans="1:9" x14ac:dyDescent="0.3">
      <c r="A32">
        <v>31</v>
      </c>
      <c r="B32" t="s">
        <v>17</v>
      </c>
      <c r="C32" t="s">
        <v>28</v>
      </c>
      <c r="D32" t="s">
        <v>24</v>
      </c>
      <c r="E32">
        <v>39</v>
      </c>
      <c r="F32">
        <v>77</v>
      </c>
      <c r="G32">
        <v>40</v>
      </c>
      <c r="H32">
        <v>82</v>
      </c>
      <c r="I32" t="s">
        <v>20</v>
      </c>
    </row>
    <row r="33" spans="1:9" x14ac:dyDescent="0.3">
      <c r="A33">
        <v>32</v>
      </c>
      <c r="B33" t="s">
        <v>17</v>
      </c>
      <c r="C33" t="s">
        <v>28</v>
      </c>
      <c r="D33" t="s">
        <v>31</v>
      </c>
      <c r="E33">
        <v>47</v>
      </c>
      <c r="F33">
        <v>67</v>
      </c>
      <c r="G33">
        <v>83</v>
      </c>
      <c r="H33">
        <v>85</v>
      </c>
      <c r="I33" t="s">
        <v>12</v>
      </c>
    </row>
    <row r="34" spans="1:9" x14ac:dyDescent="0.3">
      <c r="A34">
        <v>33</v>
      </c>
      <c r="B34" t="s">
        <v>34</v>
      </c>
      <c r="C34" t="s">
        <v>14</v>
      </c>
      <c r="D34" t="s">
        <v>36</v>
      </c>
      <c r="E34">
        <v>40</v>
      </c>
      <c r="F34">
        <v>86</v>
      </c>
      <c r="G34">
        <v>100</v>
      </c>
      <c r="H34">
        <v>65</v>
      </c>
      <c r="I34" t="s">
        <v>12</v>
      </c>
    </row>
    <row r="35" spans="1:9" x14ac:dyDescent="0.3">
      <c r="A35">
        <v>34</v>
      </c>
      <c r="B35" t="s">
        <v>40</v>
      </c>
      <c r="C35" t="s">
        <v>14</v>
      </c>
      <c r="D35" t="s">
        <v>27</v>
      </c>
      <c r="E35">
        <v>93</v>
      </c>
      <c r="F35">
        <v>47</v>
      </c>
      <c r="G35">
        <v>37</v>
      </c>
      <c r="H35">
        <v>45</v>
      </c>
      <c r="I35" t="s">
        <v>20</v>
      </c>
    </row>
    <row r="36" spans="1:9" x14ac:dyDescent="0.3">
      <c r="A36">
        <v>35</v>
      </c>
      <c r="B36" t="s">
        <v>32</v>
      </c>
      <c r="C36" t="s">
        <v>28</v>
      </c>
      <c r="D36" t="s">
        <v>45</v>
      </c>
      <c r="E36">
        <v>98</v>
      </c>
      <c r="F36">
        <v>95</v>
      </c>
      <c r="G36">
        <v>89</v>
      </c>
      <c r="H36">
        <v>82</v>
      </c>
      <c r="I36" t="s">
        <v>46</v>
      </c>
    </row>
    <row r="37" spans="1:9" x14ac:dyDescent="0.3">
      <c r="A37">
        <v>36</v>
      </c>
      <c r="B37" t="s">
        <v>35</v>
      </c>
      <c r="C37" t="s">
        <v>14</v>
      </c>
      <c r="D37" t="s">
        <v>39</v>
      </c>
      <c r="E37">
        <v>64</v>
      </c>
      <c r="F37">
        <v>35</v>
      </c>
      <c r="G37">
        <v>86</v>
      </c>
      <c r="H37">
        <v>56</v>
      </c>
      <c r="I37" t="s">
        <v>20</v>
      </c>
    </row>
    <row r="38" spans="1:9" x14ac:dyDescent="0.3">
      <c r="A38">
        <v>37</v>
      </c>
      <c r="B38" t="s">
        <v>37</v>
      </c>
      <c r="C38" t="s">
        <v>28</v>
      </c>
      <c r="D38" t="s">
        <v>31</v>
      </c>
      <c r="E38">
        <v>52</v>
      </c>
      <c r="F38">
        <v>75</v>
      </c>
      <c r="G38">
        <v>94</v>
      </c>
      <c r="H38">
        <v>97</v>
      </c>
      <c r="I38" t="s">
        <v>12</v>
      </c>
    </row>
    <row r="39" spans="1:9" x14ac:dyDescent="0.3">
      <c r="A39">
        <v>38</v>
      </c>
      <c r="B39" t="s">
        <v>44</v>
      </c>
      <c r="C39" t="s">
        <v>14</v>
      </c>
      <c r="D39" t="s">
        <v>31</v>
      </c>
      <c r="E39">
        <v>84</v>
      </c>
      <c r="F39">
        <v>78</v>
      </c>
      <c r="G39">
        <v>53</v>
      </c>
      <c r="H39">
        <v>44</v>
      </c>
      <c r="I39" t="s">
        <v>20</v>
      </c>
    </row>
    <row r="40" spans="1:9" x14ac:dyDescent="0.3">
      <c r="A40">
        <v>39</v>
      </c>
      <c r="B40" t="s">
        <v>38</v>
      </c>
      <c r="C40" t="s">
        <v>28</v>
      </c>
      <c r="D40" t="s">
        <v>36</v>
      </c>
      <c r="E40">
        <v>63</v>
      </c>
      <c r="F40">
        <v>64</v>
      </c>
      <c r="G40">
        <v>87</v>
      </c>
      <c r="H40">
        <v>100</v>
      </c>
      <c r="I40" t="s">
        <v>12</v>
      </c>
    </row>
    <row r="41" spans="1:9" x14ac:dyDescent="0.3">
      <c r="A41">
        <v>40</v>
      </c>
      <c r="B41" t="s">
        <v>47</v>
      </c>
      <c r="C41" t="s">
        <v>28</v>
      </c>
      <c r="D41" t="s">
        <v>33</v>
      </c>
      <c r="E41">
        <v>75</v>
      </c>
      <c r="F41">
        <v>90</v>
      </c>
      <c r="G41">
        <v>69</v>
      </c>
      <c r="H41">
        <v>91</v>
      </c>
      <c r="I41" t="s">
        <v>12</v>
      </c>
    </row>
    <row r="42" spans="1:9" x14ac:dyDescent="0.3">
      <c r="A42">
        <v>41</v>
      </c>
      <c r="B42" t="s">
        <v>48</v>
      </c>
      <c r="C42" t="s">
        <v>14</v>
      </c>
      <c r="D42" t="s">
        <v>33</v>
      </c>
      <c r="E42">
        <v>77</v>
      </c>
      <c r="F42">
        <v>63</v>
      </c>
      <c r="G42">
        <v>38</v>
      </c>
      <c r="H42">
        <v>40</v>
      </c>
      <c r="I42" t="s">
        <v>16</v>
      </c>
    </row>
    <row r="43" spans="1:9" x14ac:dyDescent="0.3">
      <c r="A43">
        <v>42</v>
      </c>
      <c r="B43" t="s">
        <v>43</v>
      </c>
      <c r="C43" t="s">
        <v>14</v>
      </c>
      <c r="D43" t="s">
        <v>15</v>
      </c>
      <c r="E43">
        <v>44</v>
      </c>
      <c r="F43">
        <v>78</v>
      </c>
      <c r="G43">
        <v>44</v>
      </c>
      <c r="H43">
        <v>80</v>
      </c>
      <c r="I43" t="s">
        <v>20</v>
      </c>
    </row>
    <row r="44" spans="1:9" x14ac:dyDescent="0.3">
      <c r="A44">
        <v>43</v>
      </c>
      <c r="B44" t="s">
        <v>43</v>
      </c>
      <c r="C44" t="s">
        <v>28</v>
      </c>
      <c r="D44" t="s">
        <v>49</v>
      </c>
      <c r="E44">
        <v>94</v>
      </c>
      <c r="F44">
        <v>38</v>
      </c>
      <c r="G44">
        <v>69</v>
      </c>
      <c r="H44">
        <v>78</v>
      </c>
      <c r="I44" t="s">
        <v>20</v>
      </c>
    </row>
    <row r="45" spans="1:9" x14ac:dyDescent="0.3">
      <c r="A45">
        <v>44</v>
      </c>
      <c r="B45" t="s">
        <v>23</v>
      </c>
      <c r="C45" t="s">
        <v>28</v>
      </c>
      <c r="D45" t="s">
        <v>50</v>
      </c>
      <c r="E45">
        <v>36</v>
      </c>
      <c r="F45">
        <v>51</v>
      </c>
      <c r="G45">
        <v>40</v>
      </c>
      <c r="H45">
        <v>76</v>
      </c>
      <c r="I45" t="s">
        <v>16</v>
      </c>
    </row>
    <row r="46" spans="1:9" x14ac:dyDescent="0.3">
      <c r="A46">
        <v>45</v>
      </c>
      <c r="B46" t="s">
        <v>32</v>
      </c>
      <c r="C46" t="s">
        <v>14</v>
      </c>
      <c r="D46" t="s">
        <v>50</v>
      </c>
      <c r="E46">
        <v>80</v>
      </c>
      <c r="F46">
        <v>41</v>
      </c>
      <c r="G46">
        <v>79</v>
      </c>
      <c r="H46">
        <v>72</v>
      </c>
      <c r="I46" t="s">
        <v>20</v>
      </c>
    </row>
    <row r="47" spans="1:9" x14ac:dyDescent="0.3">
      <c r="A47">
        <v>46</v>
      </c>
      <c r="B47" t="s">
        <v>40</v>
      </c>
      <c r="C47" t="s">
        <v>14</v>
      </c>
      <c r="D47" t="s">
        <v>36</v>
      </c>
      <c r="E47">
        <v>41</v>
      </c>
      <c r="F47">
        <v>51</v>
      </c>
      <c r="G47">
        <v>72</v>
      </c>
      <c r="H47">
        <v>75</v>
      </c>
      <c r="I47" t="s">
        <v>20</v>
      </c>
    </row>
    <row r="48" spans="1:9" x14ac:dyDescent="0.3">
      <c r="A48">
        <v>47</v>
      </c>
      <c r="B48" t="s">
        <v>32</v>
      </c>
      <c r="C48" t="s">
        <v>28</v>
      </c>
      <c r="D48" t="s">
        <v>33</v>
      </c>
      <c r="E48">
        <v>37</v>
      </c>
      <c r="F48">
        <v>52</v>
      </c>
      <c r="G48">
        <v>82</v>
      </c>
      <c r="H48">
        <v>95</v>
      </c>
      <c r="I48" t="s">
        <v>20</v>
      </c>
    </row>
    <row r="49" spans="1:9" x14ac:dyDescent="0.3">
      <c r="A49">
        <v>48</v>
      </c>
      <c r="B49" t="s">
        <v>34</v>
      </c>
      <c r="C49" t="s">
        <v>28</v>
      </c>
      <c r="D49" t="s">
        <v>33</v>
      </c>
      <c r="E49">
        <v>71</v>
      </c>
      <c r="F49">
        <v>51</v>
      </c>
      <c r="G49">
        <v>37</v>
      </c>
      <c r="H49">
        <v>66</v>
      </c>
      <c r="I49" t="s">
        <v>20</v>
      </c>
    </row>
    <row r="50" spans="1:9" x14ac:dyDescent="0.3">
      <c r="A50">
        <v>49</v>
      </c>
      <c r="B50" t="s">
        <v>13</v>
      </c>
      <c r="C50" t="s">
        <v>14</v>
      </c>
      <c r="D50" t="s">
        <v>24</v>
      </c>
      <c r="E50">
        <v>57</v>
      </c>
      <c r="F50">
        <v>80</v>
      </c>
      <c r="G50">
        <v>56</v>
      </c>
      <c r="H50">
        <v>78</v>
      </c>
      <c r="I50" t="s">
        <v>20</v>
      </c>
    </row>
    <row r="51" spans="1:9" x14ac:dyDescent="0.3">
      <c r="A51">
        <v>50</v>
      </c>
      <c r="B51" t="s">
        <v>9</v>
      </c>
      <c r="C51" t="s">
        <v>28</v>
      </c>
      <c r="D51" t="s">
        <v>49</v>
      </c>
      <c r="E51">
        <v>90</v>
      </c>
      <c r="F51">
        <v>67</v>
      </c>
      <c r="G51">
        <v>68</v>
      </c>
      <c r="H51">
        <v>51</v>
      </c>
      <c r="I51" t="s">
        <v>20</v>
      </c>
    </row>
    <row r="52" spans="1:9" x14ac:dyDescent="0.3">
      <c r="A52">
        <v>51</v>
      </c>
      <c r="B52" t="s">
        <v>38</v>
      </c>
      <c r="C52" t="s">
        <v>28</v>
      </c>
      <c r="D52" t="s">
        <v>24</v>
      </c>
      <c r="E52">
        <v>85</v>
      </c>
      <c r="F52">
        <v>51</v>
      </c>
      <c r="G52">
        <v>42</v>
      </c>
      <c r="H52">
        <v>92</v>
      </c>
      <c r="I52" t="s">
        <v>20</v>
      </c>
    </row>
    <row r="53" spans="1:9" x14ac:dyDescent="0.3">
      <c r="A53">
        <v>52</v>
      </c>
      <c r="B53" t="s">
        <v>41</v>
      </c>
      <c r="C53" t="s">
        <v>28</v>
      </c>
      <c r="D53" t="s">
        <v>36</v>
      </c>
      <c r="E53">
        <v>83</v>
      </c>
      <c r="F53">
        <v>46</v>
      </c>
      <c r="G53">
        <v>63</v>
      </c>
      <c r="H53">
        <v>44</v>
      </c>
      <c r="I53" t="s">
        <v>20</v>
      </c>
    </row>
    <row r="54" spans="1:9" x14ac:dyDescent="0.3">
      <c r="A54">
        <v>53</v>
      </c>
      <c r="B54" t="s">
        <v>23</v>
      </c>
      <c r="C54" t="s">
        <v>14</v>
      </c>
      <c r="D54" t="s">
        <v>31</v>
      </c>
      <c r="E54">
        <v>47</v>
      </c>
      <c r="F54">
        <v>96</v>
      </c>
      <c r="G54">
        <v>55</v>
      </c>
      <c r="H54">
        <v>54</v>
      </c>
      <c r="I54" t="s">
        <v>20</v>
      </c>
    </row>
    <row r="55" spans="1:9" x14ac:dyDescent="0.3">
      <c r="A55">
        <v>54</v>
      </c>
      <c r="B55" t="s">
        <v>51</v>
      </c>
      <c r="C55" t="s">
        <v>28</v>
      </c>
      <c r="D55" t="s">
        <v>45</v>
      </c>
      <c r="E55">
        <v>62</v>
      </c>
      <c r="F55">
        <v>48</v>
      </c>
      <c r="G55">
        <v>76</v>
      </c>
      <c r="H55">
        <v>75</v>
      </c>
      <c r="I55" t="s">
        <v>20</v>
      </c>
    </row>
    <row r="56" spans="1:9" x14ac:dyDescent="0.3">
      <c r="A56">
        <v>55</v>
      </c>
      <c r="B56" t="s">
        <v>52</v>
      </c>
      <c r="C56" t="s">
        <v>14</v>
      </c>
      <c r="D56" t="s">
        <v>50</v>
      </c>
      <c r="E56">
        <v>88</v>
      </c>
      <c r="F56">
        <v>77</v>
      </c>
      <c r="G56">
        <v>82</v>
      </c>
      <c r="H56">
        <v>84</v>
      </c>
      <c r="I56" t="s">
        <v>12</v>
      </c>
    </row>
    <row r="57" spans="1:9" x14ac:dyDescent="0.3">
      <c r="A57">
        <v>56</v>
      </c>
      <c r="B57" t="s">
        <v>13</v>
      </c>
      <c r="C57" t="s">
        <v>14</v>
      </c>
      <c r="D57" t="s">
        <v>45</v>
      </c>
      <c r="E57">
        <v>80</v>
      </c>
      <c r="F57">
        <v>71</v>
      </c>
      <c r="G57">
        <v>86</v>
      </c>
      <c r="H57">
        <v>68</v>
      </c>
      <c r="I57" t="s">
        <v>12</v>
      </c>
    </row>
    <row r="58" spans="1:9" x14ac:dyDescent="0.3">
      <c r="A58">
        <v>57</v>
      </c>
      <c r="B58" t="s">
        <v>48</v>
      </c>
      <c r="C58" t="s">
        <v>28</v>
      </c>
      <c r="D58" t="s">
        <v>53</v>
      </c>
      <c r="E58">
        <v>78</v>
      </c>
      <c r="F58">
        <v>91</v>
      </c>
      <c r="G58">
        <v>69</v>
      </c>
      <c r="H58">
        <v>39</v>
      </c>
      <c r="I58" t="s">
        <v>20</v>
      </c>
    </row>
    <row r="59" spans="1:9" x14ac:dyDescent="0.3">
      <c r="A59">
        <v>58</v>
      </c>
      <c r="B59" t="s">
        <v>34</v>
      </c>
      <c r="C59" t="s">
        <v>28</v>
      </c>
      <c r="D59" t="s">
        <v>50</v>
      </c>
      <c r="E59">
        <v>45</v>
      </c>
      <c r="F59">
        <v>44</v>
      </c>
      <c r="G59">
        <v>92</v>
      </c>
      <c r="H59">
        <v>39</v>
      </c>
      <c r="I59" t="s">
        <v>20</v>
      </c>
    </row>
    <row r="60" spans="1:9" x14ac:dyDescent="0.3">
      <c r="A60">
        <v>59</v>
      </c>
      <c r="B60" t="s">
        <v>47</v>
      </c>
      <c r="C60" t="s">
        <v>28</v>
      </c>
      <c r="D60" t="s">
        <v>27</v>
      </c>
      <c r="E60">
        <v>66</v>
      </c>
      <c r="F60">
        <v>87</v>
      </c>
      <c r="G60">
        <v>60</v>
      </c>
      <c r="H60">
        <v>55</v>
      </c>
      <c r="I60" t="s">
        <v>20</v>
      </c>
    </row>
    <row r="61" spans="1:9" x14ac:dyDescent="0.3">
      <c r="A61">
        <v>60</v>
      </c>
      <c r="B61" t="s">
        <v>54</v>
      </c>
      <c r="C61" t="s">
        <v>14</v>
      </c>
      <c r="D61" t="s">
        <v>50</v>
      </c>
      <c r="E61">
        <v>56</v>
      </c>
      <c r="F61">
        <v>52</v>
      </c>
      <c r="G61">
        <v>53</v>
      </c>
      <c r="H61">
        <v>55</v>
      </c>
      <c r="I61" t="s">
        <v>16</v>
      </c>
    </row>
    <row r="62" spans="1:9" x14ac:dyDescent="0.3">
      <c r="A62">
        <v>61</v>
      </c>
      <c r="B62" t="s">
        <v>43</v>
      </c>
      <c r="C62" t="s">
        <v>28</v>
      </c>
      <c r="D62" t="s">
        <v>49</v>
      </c>
      <c r="E62">
        <v>48</v>
      </c>
      <c r="F62">
        <v>52</v>
      </c>
      <c r="G62">
        <v>91</v>
      </c>
      <c r="H62">
        <v>38</v>
      </c>
      <c r="I62" t="s">
        <v>20</v>
      </c>
    </row>
    <row r="63" spans="1:9" x14ac:dyDescent="0.3">
      <c r="A63">
        <v>62</v>
      </c>
      <c r="B63" t="s">
        <v>51</v>
      </c>
      <c r="C63" t="s">
        <v>28</v>
      </c>
      <c r="D63" t="s">
        <v>15</v>
      </c>
      <c r="E63">
        <v>80</v>
      </c>
      <c r="F63">
        <v>47</v>
      </c>
      <c r="G63">
        <v>46</v>
      </c>
      <c r="H63">
        <v>51</v>
      </c>
      <c r="I63" t="s">
        <v>20</v>
      </c>
    </row>
    <row r="64" spans="1:9" x14ac:dyDescent="0.3">
      <c r="A64">
        <v>63</v>
      </c>
      <c r="B64" t="s">
        <v>34</v>
      </c>
      <c r="C64" t="s">
        <v>28</v>
      </c>
      <c r="D64" t="s">
        <v>24</v>
      </c>
      <c r="E64">
        <v>83</v>
      </c>
      <c r="F64">
        <v>71</v>
      </c>
      <c r="G64">
        <v>87</v>
      </c>
      <c r="H64">
        <v>90</v>
      </c>
      <c r="I64" t="s">
        <v>12</v>
      </c>
    </row>
    <row r="65" spans="1:9" x14ac:dyDescent="0.3">
      <c r="A65">
        <v>64</v>
      </c>
      <c r="B65" t="s">
        <v>48</v>
      </c>
      <c r="C65" t="s">
        <v>28</v>
      </c>
      <c r="D65" t="s">
        <v>36</v>
      </c>
      <c r="E65">
        <v>84</v>
      </c>
      <c r="F65">
        <v>85</v>
      </c>
      <c r="G65">
        <v>49</v>
      </c>
      <c r="H65">
        <v>94</v>
      </c>
      <c r="I65" t="s">
        <v>12</v>
      </c>
    </row>
    <row r="66" spans="1:9" x14ac:dyDescent="0.3">
      <c r="A66">
        <v>65</v>
      </c>
      <c r="B66" t="s">
        <v>40</v>
      </c>
      <c r="C66" t="s">
        <v>14</v>
      </c>
      <c r="D66" t="s">
        <v>53</v>
      </c>
      <c r="E66">
        <v>96</v>
      </c>
      <c r="F66">
        <v>84</v>
      </c>
      <c r="G66">
        <v>90</v>
      </c>
      <c r="H66">
        <v>73</v>
      </c>
      <c r="I66" t="s">
        <v>46</v>
      </c>
    </row>
    <row r="67" spans="1:9" x14ac:dyDescent="0.3">
      <c r="A67">
        <v>66</v>
      </c>
      <c r="B67" t="s">
        <v>34</v>
      </c>
      <c r="C67" t="s">
        <v>14</v>
      </c>
      <c r="D67" t="s">
        <v>45</v>
      </c>
      <c r="E67">
        <v>67</v>
      </c>
      <c r="F67">
        <v>35</v>
      </c>
      <c r="G67">
        <v>78</v>
      </c>
      <c r="H67">
        <v>63</v>
      </c>
      <c r="I67" t="s">
        <v>20</v>
      </c>
    </row>
    <row r="68" spans="1:9" x14ac:dyDescent="0.3">
      <c r="A68">
        <v>67</v>
      </c>
      <c r="B68" t="s">
        <v>21</v>
      </c>
      <c r="C68" t="s">
        <v>14</v>
      </c>
      <c r="D68" t="s">
        <v>50</v>
      </c>
      <c r="E68">
        <v>97</v>
      </c>
      <c r="F68">
        <v>38</v>
      </c>
      <c r="G68">
        <v>66</v>
      </c>
      <c r="H68">
        <v>74</v>
      </c>
      <c r="I68" t="s">
        <v>20</v>
      </c>
    </row>
    <row r="69" spans="1:9" x14ac:dyDescent="0.3">
      <c r="A69">
        <v>68</v>
      </c>
      <c r="B69" t="s">
        <v>55</v>
      </c>
      <c r="C69" t="s">
        <v>28</v>
      </c>
      <c r="D69" t="s">
        <v>24</v>
      </c>
      <c r="E69">
        <v>42</v>
      </c>
      <c r="F69">
        <v>39</v>
      </c>
      <c r="G69">
        <v>39</v>
      </c>
      <c r="H69">
        <v>73</v>
      </c>
      <c r="I69" t="s">
        <v>16</v>
      </c>
    </row>
    <row r="70" spans="1:9" x14ac:dyDescent="0.3">
      <c r="A70">
        <v>69</v>
      </c>
      <c r="B70" t="s">
        <v>51</v>
      </c>
      <c r="C70" t="s">
        <v>28</v>
      </c>
      <c r="D70" t="s">
        <v>39</v>
      </c>
      <c r="E70">
        <v>45</v>
      </c>
      <c r="F70">
        <v>93</v>
      </c>
      <c r="G70">
        <v>80</v>
      </c>
      <c r="H70">
        <v>57</v>
      </c>
      <c r="I70" t="s">
        <v>20</v>
      </c>
    </row>
    <row r="71" spans="1:9" x14ac:dyDescent="0.3">
      <c r="A71">
        <v>70</v>
      </c>
      <c r="B71" t="s">
        <v>56</v>
      </c>
      <c r="C71" t="s">
        <v>14</v>
      </c>
      <c r="D71" t="s">
        <v>33</v>
      </c>
      <c r="E71">
        <v>76</v>
      </c>
      <c r="F71">
        <v>80</v>
      </c>
      <c r="G71">
        <v>72</v>
      </c>
      <c r="H71">
        <v>57</v>
      </c>
      <c r="I71" t="s">
        <v>12</v>
      </c>
    </row>
    <row r="72" spans="1:9" x14ac:dyDescent="0.3">
      <c r="A72">
        <v>71</v>
      </c>
      <c r="B72" t="s">
        <v>51</v>
      </c>
      <c r="C72" t="s">
        <v>28</v>
      </c>
      <c r="D72" t="s">
        <v>49</v>
      </c>
      <c r="E72">
        <v>83</v>
      </c>
      <c r="F72">
        <v>69</v>
      </c>
      <c r="G72">
        <v>92</v>
      </c>
      <c r="H72">
        <v>48</v>
      </c>
      <c r="I72" t="s">
        <v>12</v>
      </c>
    </row>
    <row r="73" spans="1:9" x14ac:dyDescent="0.3">
      <c r="A73">
        <v>72</v>
      </c>
      <c r="B73" t="s">
        <v>26</v>
      </c>
      <c r="C73" t="s">
        <v>14</v>
      </c>
      <c r="D73" t="s">
        <v>31</v>
      </c>
      <c r="E73">
        <v>76</v>
      </c>
      <c r="F73">
        <v>51</v>
      </c>
      <c r="G73">
        <v>50</v>
      </c>
      <c r="H73">
        <v>79</v>
      </c>
      <c r="I73" t="s">
        <v>20</v>
      </c>
    </row>
    <row r="74" spans="1:9" x14ac:dyDescent="0.3">
      <c r="A74">
        <v>73</v>
      </c>
      <c r="B74" t="s">
        <v>38</v>
      </c>
      <c r="C74" t="s">
        <v>14</v>
      </c>
      <c r="D74" t="s">
        <v>24</v>
      </c>
      <c r="E74">
        <v>75</v>
      </c>
      <c r="F74">
        <v>56</v>
      </c>
      <c r="G74">
        <v>71</v>
      </c>
      <c r="H74">
        <v>80</v>
      </c>
      <c r="I74" t="s">
        <v>12</v>
      </c>
    </row>
    <row r="75" spans="1:9" x14ac:dyDescent="0.3">
      <c r="A75">
        <v>74</v>
      </c>
      <c r="B75" t="s">
        <v>55</v>
      </c>
      <c r="C75" t="s">
        <v>28</v>
      </c>
      <c r="D75" t="s">
        <v>31</v>
      </c>
      <c r="E75">
        <v>82</v>
      </c>
      <c r="F75">
        <v>58</v>
      </c>
      <c r="G75">
        <v>61</v>
      </c>
      <c r="H75">
        <v>96</v>
      </c>
      <c r="I75" t="s">
        <v>12</v>
      </c>
    </row>
    <row r="76" spans="1:9" x14ac:dyDescent="0.3">
      <c r="A76">
        <v>75</v>
      </c>
      <c r="B76" t="s">
        <v>55</v>
      </c>
      <c r="C76" t="s">
        <v>14</v>
      </c>
      <c r="D76" t="s">
        <v>49</v>
      </c>
      <c r="E76">
        <v>80</v>
      </c>
      <c r="F76">
        <v>89</v>
      </c>
      <c r="G76">
        <v>79</v>
      </c>
      <c r="H76">
        <v>47</v>
      </c>
      <c r="I76" t="s">
        <v>12</v>
      </c>
    </row>
    <row r="77" spans="1:9" x14ac:dyDescent="0.3">
      <c r="A77">
        <v>76</v>
      </c>
      <c r="B77" t="s">
        <v>47</v>
      </c>
      <c r="C77" t="s">
        <v>28</v>
      </c>
      <c r="D77" t="s">
        <v>19</v>
      </c>
      <c r="E77">
        <v>91</v>
      </c>
      <c r="F77">
        <v>95</v>
      </c>
      <c r="G77">
        <v>86</v>
      </c>
      <c r="H77">
        <v>100</v>
      </c>
      <c r="I77" t="s">
        <v>46</v>
      </c>
    </row>
    <row r="78" spans="1:9" x14ac:dyDescent="0.3">
      <c r="A78">
        <v>77</v>
      </c>
      <c r="B78" t="s">
        <v>56</v>
      </c>
      <c r="C78" t="s">
        <v>28</v>
      </c>
      <c r="D78" t="s">
        <v>31</v>
      </c>
      <c r="E78">
        <v>89</v>
      </c>
      <c r="F78">
        <v>47</v>
      </c>
      <c r="G78">
        <v>48</v>
      </c>
      <c r="H78">
        <v>42</v>
      </c>
      <c r="I78" t="s">
        <v>20</v>
      </c>
    </row>
    <row r="79" spans="1:9" x14ac:dyDescent="0.3">
      <c r="A79">
        <v>78</v>
      </c>
      <c r="B79" t="s">
        <v>37</v>
      </c>
      <c r="C79" t="s">
        <v>14</v>
      </c>
      <c r="D79" t="s">
        <v>53</v>
      </c>
      <c r="E79">
        <v>72</v>
      </c>
      <c r="F79">
        <v>81</v>
      </c>
      <c r="G79">
        <v>88</v>
      </c>
      <c r="H79">
        <v>79</v>
      </c>
      <c r="I79" t="s">
        <v>12</v>
      </c>
    </row>
    <row r="80" spans="1:9" x14ac:dyDescent="0.3">
      <c r="A80">
        <v>79</v>
      </c>
      <c r="B80" t="s">
        <v>23</v>
      </c>
      <c r="C80" t="s">
        <v>14</v>
      </c>
      <c r="D80" t="s">
        <v>27</v>
      </c>
      <c r="E80">
        <v>52</v>
      </c>
      <c r="F80">
        <v>49</v>
      </c>
      <c r="G80">
        <v>57</v>
      </c>
      <c r="H80">
        <v>74</v>
      </c>
      <c r="I80" t="s">
        <v>20</v>
      </c>
    </row>
    <row r="81" spans="1:9" x14ac:dyDescent="0.3">
      <c r="A81">
        <v>80</v>
      </c>
      <c r="B81" t="s">
        <v>17</v>
      </c>
      <c r="C81" t="s">
        <v>28</v>
      </c>
      <c r="D81" t="s">
        <v>53</v>
      </c>
      <c r="E81">
        <v>84</v>
      </c>
      <c r="F81">
        <v>88</v>
      </c>
      <c r="G81">
        <v>84</v>
      </c>
      <c r="H81">
        <v>53</v>
      </c>
      <c r="I81" t="s">
        <v>12</v>
      </c>
    </row>
    <row r="82" spans="1:9" x14ac:dyDescent="0.3">
      <c r="A82">
        <v>81</v>
      </c>
      <c r="B82" t="s">
        <v>41</v>
      </c>
      <c r="C82" t="s">
        <v>28</v>
      </c>
      <c r="D82" t="s">
        <v>19</v>
      </c>
      <c r="E82">
        <v>50</v>
      </c>
      <c r="F82">
        <v>45</v>
      </c>
      <c r="G82">
        <v>74</v>
      </c>
      <c r="H82">
        <v>58</v>
      </c>
      <c r="I82" t="s">
        <v>20</v>
      </c>
    </row>
    <row r="83" spans="1:9" x14ac:dyDescent="0.3">
      <c r="A83">
        <v>82</v>
      </c>
      <c r="B83" t="s">
        <v>56</v>
      </c>
      <c r="C83" t="s">
        <v>28</v>
      </c>
      <c r="D83" t="s">
        <v>31</v>
      </c>
      <c r="E83">
        <v>63</v>
      </c>
      <c r="F83">
        <v>89</v>
      </c>
      <c r="G83">
        <v>75</v>
      </c>
      <c r="H83">
        <v>100</v>
      </c>
      <c r="I83" t="s">
        <v>12</v>
      </c>
    </row>
    <row r="84" spans="1:9" x14ac:dyDescent="0.3">
      <c r="A84">
        <v>83</v>
      </c>
      <c r="B84" t="s">
        <v>17</v>
      </c>
      <c r="C84" t="s">
        <v>14</v>
      </c>
      <c r="D84" t="s">
        <v>31</v>
      </c>
      <c r="E84">
        <v>53</v>
      </c>
      <c r="F84">
        <v>85</v>
      </c>
      <c r="G84">
        <v>73</v>
      </c>
      <c r="H84">
        <v>61</v>
      </c>
      <c r="I84" t="s">
        <v>20</v>
      </c>
    </row>
    <row r="85" spans="1:9" x14ac:dyDescent="0.3">
      <c r="A85">
        <v>84</v>
      </c>
      <c r="B85" t="s">
        <v>43</v>
      </c>
      <c r="C85" t="s">
        <v>14</v>
      </c>
      <c r="D85" t="s">
        <v>27</v>
      </c>
      <c r="E85">
        <v>47</v>
      </c>
      <c r="F85">
        <v>97</v>
      </c>
      <c r="G85">
        <v>84</v>
      </c>
      <c r="H85">
        <v>91</v>
      </c>
      <c r="I85" t="s">
        <v>12</v>
      </c>
    </row>
    <row r="86" spans="1:9" x14ac:dyDescent="0.3">
      <c r="A86">
        <v>85</v>
      </c>
      <c r="B86" t="s">
        <v>34</v>
      </c>
      <c r="C86" t="s">
        <v>14</v>
      </c>
      <c r="D86" t="s">
        <v>31</v>
      </c>
      <c r="E86">
        <v>68</v>
      </c>
      <c r="F86">
        <v>35</v>
      </c>
      <c r="G86">
        <v>91</v>
      </c>
      <c r="H86">
        <v>56</v>
      </c>
      <c r="I86" t="s">
        <v>20</v>
      </c>
    </row>
    <row r="87" spans="1:9" x14ac:dyDescent="0.3">
      <c r="A87">
        <v>86</v>
      </c>
      <c r="B87" t="s">
        <v>55</v>
      </c>
      <c r="C87" t="s">
        <v>28</v>
      </c>
      <c r="D87" t="s">
        <v>36</v>
      </c>
      <c r="E87">
        <v>82</v>
      </c>
      <c r="F87">
        <v>69</v>
      </c>
      <c r="G87">
        <v>90</v>
      </c>
      <c r="H87">
        <v>95</v>
      </c>
      <c r="I87" t="s">
        <v>12</v>
      </c>
    </row>
    <row r="88" spans="1:9" x14ac:dyDescent="0.3">
      <c r="A88">
        <v>87</v>
      </c>
      <c r="B88" t="s">
        <v>21</v>
      </c>
      <c r="C88" t="s">
        <v>14</v>
      </c>
      <c r="D88" t="s">
        <v>49</v>
      </c>
      <c r="E88">
        <v>36</v>
      </c>
      <c r="F88">
        <v>57</v>
      </c>
      <c r="G88">
        <v>84</v>
      </c>
      <c r="H88">
        <v>67</v>
      </c>
      <c r="I88" t="s">
        <v>20</v>
      </c>
    </row>
    <row r="89" spans="1:9" x14ac:dyDescent="0.3">
      <c r="A89">
        <v>88</v>
      </c>
      <c r="B89" t="s">
        <v>44</v>
      </c>
      <c r="C89" t="s">
        <v>14</v>
      </c>
      <c r="D89" t="s">
        <v>49</v>
      </c>
      <c r="E89">
        <v>73</v>
      </c>
      <c r="F89">
        <v>66</v>
      </c>
      <c r="G89">
        <v>77</v>
      </c>
      <c r="H89">
        <v>46</v>
      </c>
      <c r="I89" t="s">
        <v>20</v>
      </c>
    </row>
    <row r="90" spans="1:9" x14ac:dyDescent="0.3">
      <c r="A90">
        <v>89</v>
      </c>
      <c r="B90" t="s">
        <v>51</v>
      </c>
      <c r="C90" t="s">
        <v>14</v>
      </c>
      <c r="D90" t="s">
        <v>27</v>
      </c>
      <c r="E90">
        <v>67</v>
      </c>
      <c r="F90">
        <v>96</v>
      </c>
      <c r="G90">
        <v>69</v>
      </c>
      <c r="H90">
        <v>63</v>
      </c>
      <c r="I90" t="s">
        <v>12</v>
      </c>
    </row>
    <row r="91" spans="1:9" x14ac:dyDescent="0.3">
      <c r="A91">
        <v>90</v>
      </c>
      <c r="B91" t="s">
        <v>35</v>
      </c>
      <c r="C91" t="s">
        <v>28</v>
      </c>
      <c r="D91" t="s">
        <v>24</v>
      </c>
      <c r="E91">
        <v>100</v>
      </c>
      <c r="F91">
        <v>89</v>
      </c>
      <c r="G91">
        <v>54</v>
      </c>
      <c r="H91">
        <v>38</v>
      </c>
      <c r="I91" t="s">
        <v>12</v>
      </c>
    </row>
    <row r="92" spans="1:9" x14ac:dyDescent="0.3">
      <c r="A92">
        <v>91</v>
      </c>
      <c r="B92" t="s">
        <v>26</v>
      </c>
      <c r="C92" t="s">
        <v>28</v>
      </c>
      <c r="D92" t="s">
        <v>19</v>
      </c>
      <c r="E92">
        <v>49</v>
      </c>
      <c r="F92">
        <v>91</v>
      </c>
      <c r="G92">
        <v>50</v>
      </c>
      <c r="H92">
        <v>95</v>
      </c>
      <c r="I92" t="s">
        <v>12</v>
      </c>
    </row>
    <row r="93" spans="1:9" x14ac:dyDescent="0.3">
      <c r="A93">
        <v>92</v>
      </c>
      <c r="B93" t="s">
        <v>57</v>
      </c>
      <c r="C93" t="s">
        <v>28</v>
      </c>
      <c r="D93" t="s">
        <v>53</v>
      </c>
      <c r="E93">
        <v>58</v>
      </c>
      <c r="F93">
        <v>39</v>
      </c>
      <c r="G93">
        <v>97</v>
      </c>
      <c r="H93">
        <v>98</v>
      </c>
      <c r="I93" t="s">
        <v>12</v>
      </c>
    </row>
    <row r="94" spans="1:9" x14ac:dyDescent="0.3">
      <c r="A94">
        <v>93</v>
      </c>
      <c r="B94" t="s">
        <v>55</v>
      </c>
      <c r="C94" t="s">
        <v>28</v>
      </c>
      <c r="D94" t="s">
        <v>49</v>
      </c>
      <c r="E94">
        <v>98</v>
      </c>
      <c r="F94">
        <v>62</v>
      </c>
      <c r="G94">
        <v>88</v>
      </c>
      <c r="H94">
        <v>66</v>
      </c>
      <c r="I94" t="s">
        <v>12</v>
      </c>
    </row>
    <row r="95" spans="1:9" x14ac:dyDescent="0.3">
      <c r="A95">
        <v>94</v>
      </c>
      <c r="B95" t="s">
        <v>56</v>
      </c>
      <c r="C95" t="s">
        <v>14</v>
      </c>
      <c r="D95" t="s">
        <v>31</v>
      </c>
      <c r="E95">
        <v>67</v>
      </c>
      <c r="F95">
        <v>66</v>
      </c>
      <c r="G95">
        <v>78</v>
      </c>
      <c r="H95">
        <v>79</v>
      </c>
      <c r="I95" t="s">
        <v>12</v>
      </c>
    </row>
    <row r="96" spans="1:9" x14ac:dyDescent="0.3">
      <c r="A96">
        <v>95</v>
      </c>
      <c r="B96" t="s">
        <v>34</v>
      </c>
      <c r="C96" t="s">
        <v>28</v>
      </c>
      <c r="D96" t="s">
        <v>39</v>
      </c>
      <c r="E96">
        <v>65</v>
      </c>
      <c r="F96">
        <v>68</v>
      </c>
      <c r="G96">
        <v>91</v>
      </c>
      <c r="H96">
        <v>76</v>
      </c>
      <c r="I96" t="s">
        <v>12</v>
      </c>
    </row>
    <row r="97" spans="1:9" x14ac:dyDescent="0.3">
      <c r="A97">
        <v>96</v>
      </c>
      <c r="B97" t="s">
        <v>9</v>
      </c>
      <c r="C97" t="s">
        <v>28</v>
      </c>
      <c r="D97" t="s">
        <v>27</v>
      </c>
      <c r="E97">
        <v>82</v>
      </c>
      <c r="F97">
        <v>81</v>
      </c>
      <c r="G97">
        <v>52</v>
      </c>
      <c r="H97">
        <v>40</v>
      </c>
      <c r="I97" t="s">
        <v>20</v>
      </c>
    </row>
    <row r="98" spans="1:9" x14ac:dyDescent="0.3">
      <c r="A98">
        <v>97</v>
      </c>
      <c r="B98" t="s">
        <v>48</v>
      </c>
      <c r="C98" t="s">
        <v>14</v>
      </c>
      <c r="D98" t="s">
        <v>27</v>
      </c>
      <c r="E98">
        <v>40</v>
      </c>
      <c r="F98">
        <v>99</v>
      </c>
      <c r="G98">
        <v>74</v>
      </c>
      <c r="H98">
        <v>58</v>
      </c>
      <c r="I98" t="s">
        <v>20</v>
      </c>
    </row>
    <row r="99" spans="1:9" x14ac:dyDescent="0.3">
      <c r="A99">
        <v>98</v>
      </c>
      <c r="B99" t="s">
        <v>25</v>
      </c>
      <c r="C99" t="s">
        <v>14</v>
      </c>
      <c r="D99" t="s">
        <v>53</v>
      </c>
      <c r="E99">
        <v>63</v>
      </c>
      <c r="F99">
        <v>36</v>
      </c>
      <c r="G99">
        <v>63</v>
      </c>
      <c r="H99">
        <v>89</v>
      </c>
      <c r="I99" t="s">
        <v>20</v>
      </c>
    </row>
    <row r="100" spans="1:9" x14ac:dyDescent="0.3">
      <c r="A100">
        <v>99</v>
      </c>
      <c r="B100" t="s">
        <v>57</v>
      </c>
      <c r="C100" t="s">
        <v>14</v>
      </c>
      <c r="D100" t="s">
        <v>49</v>
      </c>
      <c r="E100">
        <v>48</v>
      </c>
      <c r="F100">
        <v>80</v>
      </c>
      <c r="G100">
        <v>40</v>
      </c>
      <c r="H100">
        <v>99</v>
      </c>
      <c r="I100" t="s">
        <v>20</v>
      </c>
    </row>
    <row r="101" spans="1:9" x14ac:dyDescent="0.3">
      <c r="A101">
        <v>100</v>
      </c>
      <c r="B101" t="s">
        <v>55</v>
      </c>
      <c r="C101" t="s">
        <v>14</v>
      </c>
      <c r="D101" t="s">
        <v>24</v>
      </c>
      <c r="E101">
        <v>81</v>
      </c>
      <c r="F101">
        <v>96</v>
      </c>
      <c r="G101">
        <v>82</v>
      </c>
      <c r="H101">
        <v>64</v>
      </c>
      <c r="I101" t="s">
        <v>12</v>
      </c>
    </row>
    <row r="102" spans="1:9" x14ac:dyDescent="0.3">
      <c r="A102">
        <v>101</v>
      </c>
      <c r="B102" t="s">
        <v>25</v>
      </c>
      <c r="C102" t="s">
        <v>28</v>
      </c>
      <c r="D102" t="s">
        <v>15</v>
      </c>
      <c r="E102">
        <v>36</v>
      </c>
      <c r="F102">
        <v>35</v>
      </c>
      <c r="G102">
        <v>81</v>
      </c>
      <c r="H102">
        <v>57</v>
      </c>
      <c r="I102" t="s">
        <v>16</v>
      </c>
    </row>
    <row r="103" spans="1:9" x14ac:dyDescent="0.3">
      <c r="A103">
        <v>102</v>
      </c>
      <c r="B103" t="s">
        <v>35</v>
      </c>
      <c r="C103" t="s">
        <v>14</v>
      </c>
      <c r="D103" t="s">
        <v>27</v>
      </c>
      <c r="E103">
        <v>81</v>
      </c>
      <c r="F103">
        <v>86</v>
      </c>
      <c r="G103">
        <v>57</v>
      </c>
      <c r="H103">
        <v>82</v>
      </c>
      <c r="I103" t="s">
        <v>12</v>
      </c>
    </row>
    <row r="104" spans="1:9" x14ac:dyDescent="0.3">
      <c r="A104">
        <v>103</v>
      </c>
      <c r="B104" t="s">
        <v>9</v>
      </c>
      <c r="C104" t="s">
        <v>28</v>
      </c>
      <c r="D104" t="s">
        <v>39</v>
      </c>
      <c r="E104">
        <v>42</v>
      </c>
      <c r="F104">
        <v>86</v>
      </c>
      <c r="G104">
        <v>48</v>
      </c>
      <c r="H104">
        <v>50</v>
      </c>
      <c r="I104" t="s">
        <v>20</v>
      </c>
    </row>
    <row r="105" spans="1:9" x14ac:dyDescent="0.3">
      <c r="A105">
        <v>104</v>
      </c>
      <c r="B105" t="s">
        <v>17</v>
      </c>
      <c r="C105" t="s">
        <v>14</v>
      </c>
      <c r="D105" t="s">
        <v>50</v>
      </c>
      <c r="E105">
        <v>66</v>
      </c>
      <c r="F105">
        <v>68</v>
      </c>
      <c r="G105">
        <v>54</v>
      </c>
      <c r="H105">
        <v>85</v>
      </c>
      <c r="I105" t="s">
        <v>20</v>
      </c>
    </row>
    <row r="106" spans="1:9" x14ac:dyDescent="0.3">
      <c r="A106">
        <v>105</v>
      </c>
      <c r="B106" t="s">
        <v>47</v>
      </c>
      <c r="C106" t="s">
        <v>28</v>
      </c>
      <c r="D106" t="s">
        <v>27</v>
      </c>
      <c r="E106">
        <v>58</v>
      </c>
      <c r="F106">
        <v>64</v>
      </c>
      <c r="G106">
        <v>56</v>
      </c>
      <c r="H106">
        <v>81</v>
      </c>
      <c r="I106" t="s">
        <v>20</v>
      </c>
    </row>
    <row r="107" spans="1:9" x14ac:dyDescent="0.3">
      <c r="A107">
        <v>106</v>
      </c>
      <c r="B107" t="s">
        <v>38</v>
      </c>
      <c r="C107" t="s">
        <v>28</v>
      </c>
      <c r="D107" t="s">
        <v>27</v>
      </c>
      <c r="E107">
        <v>90</v>
      </c>
      <c r="F107">
        <v>77</v>
      </c>
      <c r="G107">
        <v>38</v>
      </c>
      <c r="H107">
        <v>77</v>
      </c>
      <c r="I107" t="s">
        <v>12</v>
      </c>
    </row>
    <row r="108" spans="1:9" x14ac:dyDescent="0.3">
      <c r="A108">
        <v>107</v>
      </c>
      <c r="B108" t="s">
        <v>21</v>
      </c>
      <c r="C108" t="s">
        <v>28</v>
      </c>
      <c r="D108" t="s">
        <v>50</v>
      </c>
      <c r="E108">
        <v>96</v>
      </c>
      <c r="F108">
        <v>61</v>
      </c>
      <c r="G108">
        <v>79</v>
      </c>
      <c r="H108">
        <v>77</v>
      </c>
      <c r="I108" t="s">
        <v>12</v>
      </c>
    </row>
    <row r="109" spans="1:9" x14ac:dyDescent="0.3">
      <c r="A109">
        <v>108</v>
      </c>
      <c r="B109" t="s">
        <v>51</v>
      </c>
      <c r="C109" t="s">
        <v>28</v>
      </c>
      <c r="D109" t="s">
        <v>49</v>
      </c>
      <c r="E109">
        <v>53</v>
      </c>
      <c r="F109">
        <v>52</v>
      </c>
      <c r="G109">
        <v>70</v>
      </c>
      <c r="H109">
        <v>43</v>
      </c>
      <c r="I109" t="s">
        <v>16</v>
      </c>
    </row>
    <row r="110" spans="1:9" x14ac:dyDescent="0.3">
      <c r="A110">
        <v>109</v>
      </c>
      <c r="B110" t="s">
        <v>51</v>
      </c>
      <c r="C110" t="s">
        <v>14</v>
      </c>
      <c r="D110" t="s">
        <v>36</v>
      </c>
      <c r="E110">
        <v>67</v>
      </c>
      <c r="F110">
        <v>61</v>
      </c>
      <c r="G110">
        <v>49</v>
      </c>
      <c r="H110">
        <v>56</v>
      </c>
      <c r="I110" t="s">
        <v>20</v>
      </c>
    </row>
    <row r="111" spans="1:9" x14ac:dyDescent="0.3">
      <c r="A111">
        <v>110</v>
      </c>
      <c r="B111" t="s">
        <v>58</v>
      </c>
      <c r="C111" t="s">
        <v>14</v>
      </c>
      <c r="D111" t="s">
        <v>31</v>
      </c>
      <c r="E111">
        <v>65</v>
      </c>
      <c r="F111">
        <v>66</v>
      </c>
      <c r="G111">
        <v>43</v>
      </c>
      <c r="H111">
        <v>61</v>
      </c>
      <c r="I111" t="s">
        <v>20</v>
      </c>
    </row>
    <row r="112" spans="1:9" x14ac:dyDescent="0.3">
      <c r="A112">
        <v>111</v>
      </c>
      <c r="B112" t="s">
        <v>47</v>
      </c>
      <c r="C112" t="s">
        <v>28</v>
      </c>
      <c r="D112" t="s">
        <v>36</v>
      </c>
      <c r="E112">
        <v>93</v>
      </c>
      <c r="F112">
        <v>77</v>
      </c>
      <c r="G112">
        <v>87</v>
      </c>
      <c r="H112">
        <v>69</v>
      </c>
      <c r="I112" t="s">
        <v>12</v>
      </c>
    </row>
    <row r="113" spans="1:9" x14ac:dyDescent="0.3">
      <c r="A113">
        <v>112</v>
      </c>
      <c r="B113" t="s">
        <v>41</v>
      </c>
      <c r="C113" t="s">
        <v>28</v>
      </c>
      <c r="D113" t="s">
        <v>39</v>
      </c>
      <c r="E113">
        <v>96</v>
      </c>
      <c r="F113">
        <v>72</v>
      </c>
      <c r="G113">
        <v>71</v>
      </c>
      <c r="H113">
        <v>93</v>
      </c>
      <c r="I113" t="s">
        <v>12</v>
      </c>
    </row>
    <row r="114" spans="1:9" x14ac:dyDescent="0.3">
      <c r="A114">
        <v>113</v>
      </c>
      <c r="B114" t="s">
        <v>41</v>
      </c>
      <c r="C114" t="s">
        <v>28</v>
      </c>
      <c r="D114" t="s">
        <v>15</v>
      </c>
      <c r="E114">
        <v>70</v>
      </c>
      <c r="F114">
        <v>39</v>
      </c>
      <c r="G114">
        <v>62</v>
      </c>
      <c r="H114">
        <v>74</v>
      </c>
      <c r="I114" t="s">
        <v>20</v>
      </c>
    </row>
    <row r="115" spans="1:9" x14ac:dyDescent="0.3">
      <c r="A115">
        <v>114</v>
      </c>
      <c r="B115" t="s">
        <v>43</v>
      </c>
      <c r="C115" t="s">
        <v>28</v>
      </c>
      <c r="D115" t="s">
        <v>33</v>
      </c>
      <c r="E115">
        <v>35</v>
      </c>
      <c r="F115">
        <v>99</v>
      </c>
      <c r="G115">
        <v>96</v>
      </c>
      <c r="H115">
        <v>63</v>
      </c>
      <c r="I115" t="s">
        <v>12</v>
      </c>
    </row>
    <row r="116" spans="1:9" x14ac:dyDescent="0.3">
      <c r="A116">
        <v>115</v>
      </c>
      <c r="B116" t="s">
        <v>26</v>
      </c>
      <c r="C116" t="s">
        <v>28</v>
      </c>
      <c r="D116" t="s">
        <v>19</v>
      </c>
      <c r="E116">
        <v>74</v>
      </c>
      <c r="F116">
        <v>72</v>
      </c>
      <c r="G116">
        <v>80</v>
      </c>
      <c r="H116">
        <v>84</v>
      </c>
      <c r="I116" t="s">
        <v>12</v>
      </c>
    </row>
    <row r="117" spans="1:9" x14ac:dyDescent="0.3">
      <c r="A117">
        <v>116</v>
      </c>
      <c r="B117" t="s">
        <v>37</v>
      </c>
      <c r="C117" t="s">
        <v>28</v>
      </c>
      <c r="D117" t="s">
        <v>33</v>
      </c>
      <c r="E117">
        <v>97</v>
      </c>
      <c r="F117">
        <v>56</v>
      </c>
      <c r="G117">
        <v>87</v>
      </c>
      <c r="H117">
        <v>43</v>
      </c>
      <c r="I117" t="s">
        <v>12</v>
      </c>
    </row>
    <row r="118" spans="1:9" x14ac:dyDescent="0.3">
      <c r="A118">
        <v>117</v>
      </c>
      <c r="B118" t="s">
        <v>13</v>
      </c>
      <c r="C118" t="s">
        <v>14</v>
      </c>
      <c r="D118" t="s">
        <v>27</v>
      </c>
      <c r="E118">
        <v>72</v>
      </c>
      <c r="F118">
        <v>39</v>
      </c>
      <c r="G118">
        <v>35</v>
      </c>
      <c r="H118">
        <v>92</v>
      </c>
      <c r="I118" t="s">
        <v>20</v>
      </c>
    </row>
    <row r="119" spans="1:9" x14ac:dyDescent="0.3">
      <c r="A119">
        <v>118</v>
      </c>
      <c r="B119" t="s">
        <v>48</v>
      </c>
      <c r="C119" t="s">
        <v>14</v>
      </c>
      <c r="D119" t="s">
        <v>45</v>
      </c>
      <c r="E119">
        <v>53</v>
      </c>
      <c r="F119">
        <v>75</v>
      </c>
      <c r="G119">
        <v>70</v>
      </c>
      <c r="H119">
        <v>98</v>
      </c>
      <c r="I119" t="s">
        <v>12</v>
      </c>
    </row>
    <row r="120" spans="1:9" x14ac:dyDescent="0.3">
      <c r="A120">
        <v>119</v>
      </c>
      <c r="B120" t="s">
        <v>17</v>
      </c>
      <c r="C120" t="s">
        <v>28</v>
      </c>
      <c r="D120" t="s">
        <v>31</v>
      </c>
      <c r="E120">
        <v>79</v>
      </c>
      <c r="F120">
        <v>58</v>
      </c>
      <c r="G120">
        <v>63</v>
      </c>
      <c r="H120">
        <v>99</v>
      </c>
      <c r="I120" t="s">
        <v>12</v>
      </c>
    </row>
    <row r="121" spans="1:9" x14ac:dyDescent="0.3">
      <c r="A121">
        <v>120</v>
      </c>
      <c r="B121" t="s">
        <v>48</v>
      </c>
      <c r="C121" t="s">
        <v>14</v>
      </c>
      <c r="D121" t="s">
        <v>45</v>
      </c>
      <c r="E121">
        <v>85</v>
      </c>
      <c r="F121">
        <v>42</v>
      </c>
      <c r="G121">
        <v>87</v>
      </c>
      <c r="H121">
        <v>98</v>
      </c>
      <c r="I121" t="s">
        <v>12</v>
      </c>
    </row>
    <row r="122" spans="1:9" x14ac:dyDescent="0.3">
      <c r="A122">
        <v>121</v>
      </c>
      <c r="B122" t="s">
        <v>35</v>
      </c>
      <c r="C122" t="s">
        <v>28</v>
      </c>
      <c r="D122" t="s">
        <v>27</v>
      </c>
      <c r="E122">
        <v>60</v>
      </c>
      <c r="F122">
        <v>49</v>
      </c>
      <c r="G122">
        <v>58</v>
      </c>
      <c r="H122">
        <v>66</v>
      </c>
      <c r="I122" t="s">
        <v>20</v>
      </c>
    </row>
    <row r="123" spans="1:9" x14ac:dyDescent="0.3">
      <c r="A123">
        <v>122</v>
      </c>
      <c r="B123" t="s">
        <v>17</v>
      </c>
      <c r="C123" t="s">
        <v>14</v>
      </c>
      <c r="D123" t="s">
        <v>15</v>
      </c>
      <c r="E123">
        <v>96</v>
      </c>
      <c r="F123">
        <v>68</v>
      </c>
      <c r="G123">
        <v>78</v>
      </c>
      <c r="H123">
        <v>93</v>
      </c>
      <c r="I123" t="s">
        <v>12</v>
      </c>
    </row>
    <row r="124" spans="1:9" x14ac:dyDescent="0.3">
      <c r="A124">
        <v>123</v>
      </c>
      <c r="B124" t="s">
        <v>41</v>
      </c>
      <c r="C124" t="s">
        <v>14</v>
      </c>
      <c r="D124" t="s">
        <v>50</v>
      </c>
      <c r="E124">
        <v>50</v>
      </c>
      <c r="F124">
        <v>96</v>
      </c>
      <c r="G124">
        <v>60</v>
      </c>
      <c r="H124">
        <v>70</v>
      </c>
      <c r="I124" t="s">
        <v>20</v>
      </c>
    </row>
    <row r="125" spans="1:9" x14ac:dyDescent="0.3">
      <c r="A125">
        <v>124</v>
      </c>
      <c r="B125" t="s">
        <v>34</v>
      </c>
      <c r="C125" t="s">
        <v>14</v>
      </c>
      <c r="D125" t="s">
        <v>33</v>
      </c>
      <c r="E125">
        <v>48</v>
      </c>
      <c r="F125">
        <v>100</v>
      </c>
      <c r="G125">
        <v>37</v>
      </c>
      <c r="H125">
        <v>69</v>
      </c>
      <c r="I125" t="s">
        <v>20</v>
      </c>
    </row>
    <row r="126" spans="1:9" x14ac:dyDescent="0.3">
      <c r="A126">
        <v>125</v>
      </c>
      <c r="B126" t="s">
        <v>38</v>
      </c>
      <c r="C126" t="s">
        <v>14</v>
      </c>
      <c r="D126" t="s">
        <v>45</v>
      </c>
      <c r="E126">
        <v>82</v>
      </c>
      <c r="F126">
        <v>62</v>
      </c>
      <c r="G126">
        <v>100</v>
      </c>
      <c r="H126">
        <v>47</v>
      </c>
      <c r="I126" t="s">
        <v>12</v>
      </c>
    </row>
    <row r="127" spans="1:9" x14ac:dyDescent="0.3">
      <c r="A127">
        <v>126</v>
      </c>
      <c r="B127" t="s">
        <v>23</v>
      </c>
      <c r="C127" t="s">
        <v>28</v>
      </c>
      <c r="D127" t="s">
        <v>50</v>
      </c>
      <c r="E127">
        <v>63</v>
      </c>
      <c r="F127">
        <v>97</v>
      </c>
      <c r="G127">
        <v>86</v>
      </c>
      <c r="H127">
        <v>57</v>
      </c>
      <c r="I127" t="s">
        <v>12</v>
      </c>
    </row>
    <row r="128" spans="1:9" x14ac:dyDescent="0.3">
      <c r="A128">
        <v>127</v>
      </c>
      <c r="B128" t="s">
        <v>41</v>
      </c>
      <c r="C128" t="s">
        <v>14</v>
      </c>
      <c r="D128" t="s">
        <v>50</v>
      </c>
      <c r="E128">
        <v>77</v>
      </c>
      <c r="F128">
        <v>52</v>
      </c>
      <c r="G128">
        <v>98</v>
      </c>
      <c r="H128">
        <v>85</v>
      </c>
      <c r="I128" t="s">
        <v>12</v>
      </c>
    </row>
    <row r="129" spans="1:9" x14ac:dyDescent="0.3">
      <c r="A129">
        <v>128</v>
      </c>
      <c r="B129" t="s">
        <v>37</v>
      </c>
      <c r="C129" t="s">
        <v>28</v>
      </c>
      <c r="D129" t="s">
        <v>27</v>
      </c>
      <c r="E129">
        <v>40</v>
      </c>
      <c r="F129">
        <v>99</v>
      </c>
      <c r="G129">
        <v>46</v>
      </c>
      <c r="H129">
        <v>96</v>
      </c>
      <c r="I129" t="s">
        <v>12</v>
      </c>
    </row>
    <row r="130" spans="1:9" x14ac:dyDescent="0.3">
      <c r="A130">
        <v>129</v>
      </c>
      <c r="B130" t="s">
        <v>56</v>
      </c>
      <c r="C130" t="s">
        <v>14</v>
      </c>
      <c r="D130" t="s">
        <v>50</v>
      </c>
      <c r="E130">
        <v>91</v>
      </c>
      <c r="F130">
        <v>66</v>
      </c>
      <c r="G130">
        <v>54</v>
      </c>
      <c r="H130">
        <v>59</v>
      </c>
      <c r="I130" t="s">
        <v>20</v>
      </c>
    </row>
    <row r="131" spans="1:9" x14ac:dyDescent="0.3">
      <c r="A131">
        <v>130</v>
      </c>
      <c r="B131" t="s">
        <v>26</v>
      </c>
      <c r="C131" t="s">
        <v>28</v>
      </c>
      <c r="D131" t="s">
        <v>50</v>
      </c>
      <c r="E131">
        <v>99</v>
      </c>
      <c r="F131">
        <v>65</v>
      </c>
      <c r="G131">
        <v>66</v>
      </c>
      <c r="H131">
        <v>75</v>
      </c>
      <c r="I131" t="s">
        <v>12</v>
      </c>
    </row>
    <row r="132" spans="1:9" x14ac:dyDescent="0.3">
      <c r="A132">
        <v>131</v>
      </c>
      <c r="B132" t="s">
        <v>54</v>
      </c>
      <c r="C132" t="s">
        <v>28</v>
      </c>
      <c r="D132" t="s">
        <v>53</v>
      </c>
      <c r="E132">
        <v>59</v>
      </c>
      <c r="F132">
        <v>99</v>
      </c>
      <c r="G132">
        <v>66</v>
      </c>
      <c r="H132">
        <v>99</v>
      </c>
      <c r="I132" t="s">
        <v>12</v>
      </c>
    </row>
    <row r="133" spans="1:9" x14ac:dyDescent="0.3">
      <c r="A133">
        <v>132</v>
      </c>
      <c r="B133" t="s">
        <v>13</v>
      </c>
      <c r="C133" t="s">
        <v>14</v>
      </c>
      <c r="D133" t="s">
        <v>27</v>
      </c>
      <c r="E133">
        <v>71</v>
      </c>
      <c r="F133">
        <v>54</v>
      </c>
      <c r="G133">
        <v>36</v>
      </c>
      <c r="H133">
        <v>38</v>
      </c>
      <c r="I133" t="s">
        <v>16</v>
      </c>
    </row>
    <row r="134" spans="1:9" x14ac:dyDescent="0.3">
      <c r="A134">
        <v>133</v>
      </c>
      <c r="B134" t="s">
        <v>52</v>
      </c>
      <c r="C134" t="s">
        <v>28</v>
      </c>
      <c r="D134" t="s">
        <v>31</v>
      </c>
      <c r="E134">
        <v>67</v>
      </c>
      <c r="F134">
        <v>42</v>
      </c>
      <c r="G134">
        <v>70</v>
      </c>
      <c r="H134">
        <v>99</v>
      </c>
      <c r="I134" t="s">
        <v>20</v>
      </c>
    </row>
    <row r="135" spans="1:9" x14ac:dyDescent="0.3">
      <c r="A135">
        <v>134</v>
      </c>
      <c r="B135" t="s">
        <v>13</v>
      </c>
      <c r="C135" t="s">
        <v>14</v>
      </c>
      <c r="D135" t="s">
        <v>39</v>
      </c>
      <c r="E135">
        <v>99</v>
      </c>
      <c r="F135">
        <v>98</v>
      </c>
      <c r="G135">
        <v>51</v>
      </c>
      <c r="H135">
        <v>41</v>
      </c>
      <c r="I135" t="s">
        <v>12</v>
      </c>
    </row>
    <row r="136" spans="1:9" x14ac:dyDescent="0.3">
      <c r="A136">
        <v>135</v>
      </c>
      <c r="B136" t="s">
        <v>26</v>
      </c>
      <c r="C136" t="s">
        <v>28</v>
      </c>
      <c r="D136" t="s">
        <v>27</v>
      </c>
      <c r="E136">
        <v>77</v>
      </c>
      <c r="F136">
        <v>74</v>
      </c>
      <c r="G136">
        <v>58</v>
      </c>
      <c r="H136">
        <v>54</v>
      </c>
      <c r="I136" t="s">
        <v>20</v>
      </c>
    </row>
    <row r="137" spans="1:9" x14ac:dyDescent="0.3">
      <c r="A137">
        <v>136</v>
      </c>
      <c r="B137" t="s">
        <v>51</v>
      </c>
      <c r="C137" t="s">
        <v>14</v>
      </c>
      <c r="D137" t="s">
        <v>24</v>
      </c>
      <c r="E137">
        <v>64</v>
      </c>
      <c r="F137">
        <v>60</v>
      </c>
      <c r="G137">
        <v>46</v>
      </c>
      <c r="H137">
        <v>70</v>
      </c>
      <c r="I137" t="s">
        <v>20</v>
      </c>
    </row>
    <row r="138" spans="1:9" x14ac:dyDescent="0.3">
      <c r="A138">
        <v>137</v>
      </c>
      <c r="B138" t="s">
        <v>25</v>
      </c>
      <c r="C138" t="s">
        <v>28</v>
      </c>
      <c r="D138" t="s">
        <v>50</v>
      </c>
      <c r="E138">
        <v>49</v>
      </c>
      <c r="F138">
        <v>80</v>
      </c>
      <c r="G138">
        <v>71</v>
      </c>
      <c r="H138">
        <v>98</v>
      </c>
      <c r="I138" t="s">
        <v>12</v>
      </c>
    </row>
    <row r="139" spans="1:9" x14ac:dyDescent="0.3">
      <c r="A139">
        <v>138</v>
      </c>
      <c r="B139" t="s">
        <v>40</v>
      </c>
      <c r="C139" t="s">
        <v>14</v>
      </c>
      <c r="D139" t="s">
        <v>50</v>
      </c>
      <c r="E139">
        <v>59</v>
      </c>
      <c r="F139">
        <v>67</v>
      </c>
      <c r="G139">
        <v>93</v>
      </c>
      <c r="H139">
        <v>87</v>
      </c>
      <c r="I139" t="s">
        <v>12</v>
      </c>
    </row>
    <row r="140" spans="1:9" x14ac:dyDescent="0.3">
      <c r="A140">
        <v>139</v>
      </c>
      <c r="B140" t="s">
        <v>47</v>
      </c>
      <c r="C140" t="s">
        <v>28</v>
      </c>
      <c r="D140" t="s">
        <v>50</v>
      </c>
      <c r="E140">
        <v>57</v>
      </c>
      <c r="F140">
        <v>49</v>
      </c>
      <c r="G140">
        <v>96</v>
      </c>
      <c r="H140">
        <v>40</v>
      </c>
      <c r="I140" t="s">
        <v>20</v>
      </c>
    </row>
    <row r="141" spans="1:9" x14ac:dyDescent="0.3">
      <c r="A141">
        <v>140</v>
      </c>
      <c r="B141" t="s">
        <v>55</v>
      </c>
      <c r="C141" t="s">
        <v>14</v>
      </c>
      <c r="D141" t="s">
        <v>24</v>
      </c>
      <c r="E141">
        <v>58</v>
      </c>
      <c r="F141">
        <v>98</v>
      </c>
      <c r="G141">
        <v>82</v>
      </c>
      <c r="H141">
        <v>54</v>
      </c>
      <c r="I141" t="s">
        <v>12</v>
      </c>
    </row>
    <row r="142" spans="1:9" x14ac:dyDescent="0.3">
      <c r="A142">
        <v>141</v>
      </c>
      <c r="B142" t="s">
        <v>58</v>
      </c>
      <c r="C142" t="s">
        <v>28</v>
      </c>
      <c r="D142" t="s">
        <v>31</v>
      </c>
      <c r="E142">
        <v>87</v>
      </c>
      <c r="F142">
        <v>69</v>
      </c>
      <c r="G142">
        <v>75</v>
      </c>
      <c r="H142">
        <v>58</v>
      </c>
      <c r="I142" t="s">
        <v>12</v>
      </c>
    </row>
    <row r="143" spans="1:9" x14ac:dyDescent="0.3">
      <c r="A143">
        <v>142</v>
      </c>
      <c r="B143" t="s">
        <v>17</v>
      </c>
      <c r="C143" t="s">
        <v>28</v>
      </c>
      <c r="D143" t="s">
        <v>31</v>
      </c>
      <c r="E143">
        <v>98</v>
      </c>
      <c r="F143">
        <v>66</v>
      </c>
      <c r="G143">
        <v>41</v>
      </c>
      <c r="H143">
        <v>51</v>
      </c>
      <c r="I143" t="s">
        <v>20</v>
      </c>
    </row>
    <row r="144" spans="1:9" x14ac:dyDescent="0.3">
      <c r="A144">
        <v>143</v>
      </c>
      <c r="B144" t="s">
        <v>55</v>
      </c>
      <c r="C144" t="s">
        <v>28</v>
      </c>
      <c r="D144" t="s">
        <v>19</v>
      </c>
      <c r="E144">
        <v>63</v>
      </c>
      <c r="F144">
        <v>71</v>
      </c>
      <c r="G144">
        <v>42</v>
      </c>
      <c r="H144">
        <v>43</v>
      </c>
      <c r="I144" t="s">
        <v>16</v>
      </c>
    </row>
    <row r="145" spans="1:9" x14ac:dyDescent="0.3">
      <c r="A145">
        <v>144</v>
      </c>
      <c r="B145" t="s">
        <v>38</v>
      </c>
      <c r="C145" t="s">
        <v>28</v>
      </c>
      <c r="D145" t="s">
        <v>50</v>
      </c>
      <c r="E145">
        <v>81</v>
      </c>
      <c r="F145">
        <v>96</v>
      </c>
      <c r="G145">
        <v>65</v>
      </c>
      <c r="H145">
        <v>85</v>
      </c>
      <c r="I145" t="s">
        <v>12</v>
      </c>
    </row>
    <row r="146" spans="1:9" x14ac:dyDescent="0.3">
      <c r="A146">
        <v>145</v>
      </c>
      <c r="B146" t="s">
        <v>54</v>
      </c>
      <c r="C146" t="s">
        <v>28</v>
      </c>
      <c r="D146" t="s">
        <v>53</v>
      </c>
      <c r="E146">
        <v>64</v>
      </c>
      <c r="F146">
        <v>78</v>
      </c>
      <c r="G146">
        <v>74</v>
      </c>
      <c r="H146">
        <v>65</v>
      </c>
      <c r="I146" t="s">
        <v>12</v>
      </c>
    </row>
    <row r="147" spans="1:9" x14ac:dyDescent="0.3">
      <c r="A147">
        <v>146</v>
      </c>
      <c r="B147" t="s">
        <v>55</v>
      </c>
      <c r="C147" t="s">
        <v>14</v>
      </c>
      <c r="D147" t="s">
        <v>33</v>
      </c>
      <c r="E147">
        <v>62</v>
      </c>
      <c r="F147">
        <v>88</v>
      </c>
      <c r="G147">
        <v>38</v>
      </c>
      <c r="H147">
        <v>94</v>
      </c>
      <c r="I147" t="s">
        <v>12</v>
      </c>
    </row>
    <row r="148" spans="1:9" x14ac:dyDescent="0.3">
      <c r="A148">
        <v>147</v>
      </c>
      <c r="B148" t="s">
        <v>23</v>
      </c>
      <c r="C148" t="s">
        <v>14</v>
      </c>
      <c r="D148" t="s">
        <v>39</v>
      </c>
      <c r="E148">
        <v>56</v>
      </c>
      <c r="F148">
        <v>49</v>
      </c>
      <c r="G148">
        <v>69</v>
      </c>
      <c r="H148">
        <v>50</v>
      </c>
      <c r="I148" t="s">
        <v>20</v>
      </c>
    </row>
    <row r="149" spans="1:9" x14ac:dyDescent="0.3">
      <c r="A149">
        <v>148</v>
      </c>
      <c r="B149" t="s">
        <v>37</v>
      </c>
      <c r="C149" t="s">
        <v>14</v>
      </c>
      <c r="D149" t="s">
        <v>27</v>
      </c>
      <c r="E149">
        <v>86</v>
      </c>
      <c r="F149">
        <v>96</v>
      </c>
      <c r="G149">
        <v>54</v>
      </c>
      <c r="H149">
        <v>54</v>
      </c>
      <c r="I149" t="s">
        <v>12</v>
      </c>
    </row>
    <row r="150" spans="1:9" x14ac:dyDescent="0.3">
      <c r="A150">
        <v>149</v>
      </c>
      <c r="B150" t="s">
        <v>25</v>
      </c>
      <c r="C150" t="s">
        <v>14</v>
      </c>
      <c r="D150" t="s">
        <v>50</v>
      </c>
      <c r="E150">
        <v>51</v>
      </c>
      <c r="F150">
        <v>75</v>
      </c>
      <c r="G150">
        <v>56</v>
      </c>
      <c r="H150">
        <v>96</v>
      </c>
      <c r="I150" t="s">
        <v>20</v>
      </c>
    </row>
    <row r="151" spans="1:9" x14ac:dyDescent="0.3">
      <c r="A151">
        <v>150</v>
      </c>
      <c r="B151" t="s">
        <v>35</v>
      </c>
      <c r="C151" t="s">
        <v>14</v>
      </c>
      <c r="D151" t="s">
        <v>53</v>
      </c>
      <c r="E151">
        <v>50</v>
      </c>
      <c r="F151">
        <v>50</v>
      </c>
      <c r="G151">
        <v>99</v>
      </c>
      <c r="H151">
        <v>76</v>
      </c>
      <c r="I151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.05" x14ac:dyDescent="0.3"/>
  <sheetData>
    <row r="1" spans="1:2" x14ac:dyDescent="0.3">
      <c r="A1" s="1" t="s">
        <v>59</v>
      </c>
      <c r="B1" s="1" t="s">
        <v>60</v>
      </c>
    </row>
    <row r="2" spans="1:2" x14ac:dyDescent="0.3">
      <c r="A2">
        <v>1</v>
      </c>
      <c r="B2" t="s">
        <v>61</v>
      </c>
    </row>
    <row r="3" spans="1:2" x14ac:dyDescent="0.3">
      <c r="A3">
        <v>2</v>
      </c>
      <c r="B3" t="s">
        <v>62</v>
      </c>
    </row>
    <row r="4" spans="1:2" x14ac:dyDescent="0.3">
      <c r="A4">
        <v>3</v>
      </c>
      <c r="B4" t="s">
        <v>63</v>
      </c>
    </row>
    <row r="5" spans="1:2" x14ac:dyDescent="0.3">
      <c r="A5">
        <v>4</v>
      </c>
      <c r="B5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Sheet1</vt:lpstr>
      <vt:lpstr>Cleaned_Data</vt:lpstr>
      <vt:lpstr>Cleaning_Steps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Kumar</cp:lastModifiedBy>
  <dcterms:created xsi:type="dcterms:W3CDTF">2026-05-07T11:44:34Z</dcterms:created>
  <dcterms:modified xsi:type="dcterms:W3CDTF">2026-05-10T23:57:31Z</dcterms:modified>
</cp:coreProperties>
</file>